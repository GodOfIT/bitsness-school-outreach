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Đọc trước" sheetId="1" state="visible" r:id="rId3"/>
    <sheet name="Kế hoạch" sheetId="2" state="visible" r:id="rId4"/>
    <sheet name="Trọng số" sheetId="3" state="visible" r:id="rId5"/>
    <sheet name="Chấm điểm" sheetId="4" state="visible" r:id="rId6"/>
    <sheet name="Pipeline" sheetId="5" state="visible" r:id="rId7"/>
    <sheet name="Kịch bản" sheetId="6" state="visible" r:id="rId8"/>
    <sheet name="Câu hỏi khảo sát" sheetId="7" state="visible" r:id="rId9"/>
  </sheets>
  <definedNames>
    <definedName function="false" hidden="true" localSheetId="3" name="_xlnm._FilterDatabase" vbProcedure="false">'Chấm điểm'!$A$4:$AC$101</definedName>
    <definedName function="false" hidden="true" localSheetId="4" name="_xlnm._FilterDatabase" vbProcedure="false">Pipeline!$A$4:$P$97</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R4" authorId="0">
      <text>
        <r>
          <rPr>
            <sz val="10"/>
            <rFont val="Arial"/>
            <family val="2"/>
          </rPr>
          <t xml:space="preserve">Điền mức quan hệ của bạn với trường: 1 = chưa quen ai, 3 = quen gián tiếp, 5 = quen trực tiếp BGH/Trưởng phòng Đào tạo.</t>
        </r>
      </text>
    </comment>
  </commentList>
</comments>
</file>

<file path=xl/sharedStrings.xml><?xml version="1.0" encoding="utf-8"?>
<sst xmlns="http://schemas.openxmlformats.org/spreadsheetml/2006/main" count="1599" uniqueCount="904">
  <si>
    <t xml:space="preserve">Bảng ưu tiên tiếp cận trường – Bitsness (LMS, số hóa học liệu, khóa ngoại ngữ/khoa học/mô phỏng)</t>
  </si>
  <si>
    <t xml:space="preserve">Lập ngày 17/10/2026. Điểm hiện tại là SƠ BỘ, cần cập nhật sau khi bạn điền quan hệ (C8) và xác minh dữ liệu.</t>
  </si>
  <si>
    <t xml:space="preserve">MỤC ĐÍCH</t>
  </si>
  <si>
    <t xml:space="preserve">Xếp hạng 97 cơ sở đào tạo ở Hà Nội (51 cao đẳng, 30 đại học, 2 trung cấp, 14 TT GDNN-GDTX) để quyết định trường nào liên hệ trước.</t>
  </si>
  <si>
    <t xml:space="preserve">Mỗi trường được chấm 11 tiêu chí theo thang 1–5, nhân trọng số, quy về thang 100 và tự xếp vào Đợt 1/2/3/4.</t>
  </si>
  <si>
    <t xml:space="preserve">CÁCH DÙNG (4 BƯỚC)</t>
  </si>
  <si>
    <t xml:space="preserve">1. Sheet 'Trọng số': xem lại trọng số 11 tiêu chí (ô vàng) và ngưỡng chia đợt. Tổng trọng số nên = 100.</t>
  </si>
  <si>
    <t xml:space="preserve">2. Sheet 'Chấm điểm': điền cột C8 'Đường tiếp cận' (ô vàng đậm) cho từng trường. Mặc định = 1 (chưa quen ai). Đây là tiêu chí nặng nhất (12%), điền xong thứ hạng sẽ thay đổi đáng kể.</t>
  </si>
  <si>
    <t xml:space="preserve">3. Trước khi gọi một trường, xác minh các dòng có cờ đỏ/cam ở cột 'Độ tin cậy dữ liệu', rồi sửa điểm C1–C11 cho đúng thực tế.</t>
  </si>
  <si>
    <t xml:space="preserve">4. Sheet 'Pipeline': đã điền sẵn các trường Đợt 1 và Đợt 2. Cập nhật giai đoạn sau mỗi lần liên hệ; sheet 'Kế hoạch' tự đếm tiến độ phễu.</t>
  </si>
  <si>
    <t xml:space="preserve">Sau mỗi cuộc gặp, dùng sheet 'Câu hỏi khảo sát' để hỏi đúng các ý cần cho 11 tiêu chí, rồi quay lại sửa điểm.</t>
  </si>
  <si>
    <t xml:space="preserve">CHÚ GIẢI</t>
  </si>
  <si>
    <t xml:space="preserve">Ô nền vàng nhạt, chữ xanh dương: dữ liệu bạn nhập/sửa.  Ô vàng đậm (cột C8): ưu tiên điền.  Ô nền xám xanh: công thức, không gõ đè.</t>
  </si>
  <si>
    <t xml:space="preserve">Cột 'Độ tin cậy dữ liệu': đỏ = sai/không xác minh được; cam = chưa xác minh hoặc ước lượng; xanh = đã xác minh qua nguồn chính thức.</t>
  </si>
  <si>
    <t xml:space="preserve">Tổng điểm = SUMPRODUCT(điểm C1..C11 × trọng số) / (5 × tổng trọng số) × 100.  Đợt = theo ngưỡng ở sheet 'Trọng số'; trường ngoài Hà Nội luôn vào Đợt 4.</t>
  </si>
  <si>
    <t xml:space="preserve">Cột 'Gói chào mở cửa' tự đề xuất theo C1 (khoảng trống LMS), C2 (mô phỏng) và C3 (ngoại ngữ).</t>
  </si>
  <si>
    <t xml:space="preserve">BỐI CẢNH CHÍNH SÁCH ẢNH HƯỞNG ĐẾN THỨ TỰ ƯU TIÊN</t>
  </si>
  <si>
    <t xml:space="preserve">• Kế hoạch 292/KH-UBND (27/7/2026): Hà Nội gộp 10 cao đẳng + 9 trung cấp công lập thành 8 cao đẳng + 2 trung cấp; 29 TT GDNN-GDTX còn 14; hoàn tất trước 25/8/2026. Trường mới gộp phải hợp nhất chương trình, học liệu và dữ liệu sinh viên của 2–3 trường cũ, đúng với LMS và số hóa học liệu. Vì vậy các trường này được C7 = 5.</t>
  </si>
  <si>
    <t xml:space="preserve">   Nguồn: giaoduc.net.vn/ha-noi-hoan-tat-sap-xep-co-so-gdnn-gdtx-dai-hoc-cong-lap-truoc-ngay-2582026-post261701.gd ; vov.vn/xa-hoi/ha-noi-sap-xep-to-chuc-lai-cac-co-so-giao-duc-nghe-nghiep-giao-duc-thuong-xuyen-post1319056.vov</t>
  </si>
  <si>
    <t xml:space="preserve">• Thông báo 750-TB/TU (đưa tin 6/10/2026): bố trí BGH mới cho ĐH Thủ đô và 8 trường cao đẳng trực thuộc TP. BGH mới thường muốn có kết quả nhanh và chưa bị ràng buộc với nhà cung cấp cũ. Tên Hiệu trưởng xem cột 'Ghi chú' trong sheet Chấm điểm.</t>
  </si>
  <si>
    <t xml:space="preserve">   Nguồn: giaoduc.net.vn/ha-noi-bo-tri-nhan-su-lanh-dao-cac-truong-dai-hoc-cao-dang-truc-thuoc-post263057.gd</t>
  </si>
  <si>
    <t xml:space="preserve">• QĐ 2371/QĐ-TTg (27/10/2025), đề án đưa tiếng Anh thành ngôn ngữ thứ hai giai đoạn 2025–2035, áp dụng cho cả GDNN và đại học. Mục tiêu đến 2030: ≥15% cơ sở GDNN và ≥20% cơ sở đại học đạt mức 1. Đề án có nhiệm vụ về học liệu số mở, nền tảng học tập số dùng AI và khuyến khích hợp tác với doanh nghiệp giáo dục số. Đây là căn cứ cho C3 và cho thông điệp chào khóa ngoại ngữ.</t>
  </si>
  <si>
    <t xml:space="preserve">   Nguồn: luatvietnam.vn/giao-duc/quyet-dinh-2371-qd-ttg-2025-phe-duyet-de-an-tieng-anh-thanh-ngon-ngu-thu-hai-trong-truong-hoc-416990-d1.html</t>
  </si>
  <si>
    <t xml:space="preserve">THAY ĐỔI SO VỚI FILE 'Các trường cao đẳng' CỦA BẠN</t>
  </si>
  <si>
    <t xml:space="preserve">• Gộp #9 và #16 (CĐ Công nghệ cao Hà Nội, 2 cơ sở của cùng một trường) thành 1 dòng.</t>
  </si>
  <si>
    <t xml:space="preserve">• #1 CĐ Y tế Hà Đông đã hợp nhất vào CĐ Y tế Hà Nội, đổi tên dòng. #15 CĐ Cộng đồng Hà Nội đã sáp nhập vào CĐ Thương mại và Du lịch HN (#33), gộp vào dòng đó.</t>
  </si>
  <si>
    <t xml:space="preserve">• Chuyển sang 'Ngoài HN' (Đợt 4): #10 iSPACE (đặt tại TP.HCM), #44 CĐ PT-TH I (Phủ Lý), #52 CĐ Cơ khí Nông nghiệp (Bình Xuyên, Vĩnh Phúc cũ), #51 CĐ Cơ điện và Thủy lợi (nghi ở Hưng Yên, cần kiểm tra).</t>
  </si>
  <si>
    <t xml:space="preserve">• #42 'CĐ Cơ điện Hà Tây' không xác minh được tên trường. #50 có link website bị đánh dấu nghi vấn.</t>
  </si>
  <si>
    <t xml:space="preserve">• Bổ sung: CĐ nghề Việt Nam – Hàn Quốc TP HN (vừa nhận sáp nhập), 2 trường trung cấp đang nâng cấp lên cao đẳng, 14 TT GDNN-GDTX sau sắp xếp, 30 trường đại học.</t>
  </si>
  <si>
    <t xml:space="preserve">LƯU Ý THẲNG THẮN</t>
  </si>
  <si>
    <t xml:space="preserve">1. Cột 'Hiện trạng LMS', 'Số hóa quản lý' và khoảng cách trong file gốc không có nguồn, đọc giống nội dung do AI tổng hợp: vài chi tiết sai rõ (vị trí), nhiều chi tiết không kiểm chứng được. Điểm C1 và C10 đang suy ra từ các cột này. Đừng dẫn nguyên văn khi nói chuyện với trường. Gọi điện hoặc xem website để xác minh trước.</t>
  </si>
  <si>
    <t xml:space="preserve">2. Điểm của 30 trường đại học là ƯỚC LƯỢNG theo hiểu biết chung (chưa khảo sát LMS). Đại học lớn (HaUI, ĐH Y, ĐH Dược, ĐH Xây dựng) có chu kỳ bán dài và hay đã có hệ thống riêng, mô hình chấm điểm chưa phản ánh hết điều này. Gợi ý: Đợt 1 nên khoảng 2/3 là cao đẳng/trung cấp (thắng nhanh, làm case) và 1/3 là đại học.</t>
  </si>
  <si>
    <t xml:space="preserve">3. Bạn chọn 'chào cả gói'. Hợp lý cho bản đề xuất, nhưng ở cuộc gặp đầu nên mở bằng MỘT vấn đề cụ thể của trường (ví dụ hợp nhất học liệu sau sáp nhập, thiếu thiết bị thực hành) và một pilot nhỏ trong 1 học kỳ. Trường công lập khó ký gói lớn khi chưa có trong kế hoạch và dự toán, nên pilot là đường vào kế hoạch 2027.</t>
  </si>
  <si>
    <t xml:space="preserve">4. Với trường đã có LMS mạnh (CĐ Công nghệ cao, HCEM, FPT, HaUI…), cột Gói chào tự chuyển sang 'số hóa học liệu chạy trên LMS sẵn có'. Điều này đòi hỏi học liệu/khóa mô phỏng của bạn xuất được chuẩn SCORM/xAPI hoặc LTI. Nếu chưa có, đây là việc kỹ thuật nên làm trước Đợt 2.</t>
  </si>
  <si>
    <t xml:space="preserve">5. 14 TT GDNN-GDTX cùng chủ quản là Sở GD&amp;ĐT Hà Nội. Nên đề xuất ở cấp Sở (một nền tảng cho cả cụm) song song với pilot ở 1 trung tâm, thay vì đi lẻ 14 nơi.</t>
  </si>
  <si>
    <t xml:space="preserve">Kế hoạch tiếp cận: Hà Nội trước, ngoài Hà Nội sau</t>
  </si>
  <si>
    <t xml:space="preserve">Mốc thời gian tính từ tuần 19/10/2026. Số trường mỗi đợt và tiến độ phễu tự đếm.</t>
  </si>
  <si>
    <t xml:space="preserve">Đợt</t>
  </si>
  <si>
    <t xml:space="preserve">Số trường (tự đếm)</t>
  </si>
  <si>
    <t xml:space="preserve">Thời gian</t>
  </si>
  <si>
    <t xml:space="preserve">Mục tiêu đầu ra</t>
  </si>
  <si>
    <t xml:space="preserve">Trọng tâm &amp; cách làm</t>
  </si>
  <si>
    <t xml:space="preserve">Đợt 1</t>
  </si>
  <si>
    <t xml:space="preserve">02/11 – 20/12/2026 (7 tuần)</t>
  </si>
  <si>
    <t xml:space="preserve">Gặp ≥10 trường; khảo sát nhu cầu ≥6; gửi ≥3 đề xuất pilot để vào kế hoạch 2027</t>
  </si>
  <si>
    <t xml:space="preserve">Ưu tiên trường công lập vừa sáp nhập (BGH mới, phải hợp nhất học liệu) và trường tư thục y–kỹ thuật quyết nhanh. Danh sách tự động hiện là 8 CĐ + 8 ĐH; nên chuyển 2–3 ĐH lớn, chu kỳ dài (HaUI, ĐH Dược, ĐH Xây dựng) sang Đợt 2 và đưa 2 trường trung cấp đang nâng cấp lên Đợt 1. Tận dụng 20/11 (Ngày Nhà giáo VN) để thăm hỏi, kết nối.</t>
  </si>
  <si>
    <t xml:space="preserve">Đợt 2</t>
  </si>
  <si>
    <t xml:space="preserve">07/12/2026 – 24/01/2027</t>
  </si>
  <si>
    <t xml:space="preserve">Liên hệ toàn bộ; gặp ≥12; chốt 1–2 pilot chạy học kỳ 2</t>
  </si>
  <si>
    <t xml:space="preserve">Chạy song song phần cuối Đợt 1. Dùng phản hồi Đợt 1 chỉnh bộ chào hàng theo phân khúc. Gửi đề xuất cấp cụm cho Sở GD&amp;ĐT về 14 TT GDNN-GDTX.</t>
  </si>
  <si>
    <t xml:space="preserve">Đợt 3</t>
  </si>
  <si>
    <t xml:space="preserve">22/02 – 30/04/2027</t>
  </si>
  <si>
    <t xml:space="preserve">Liên hệ theo nhóm qua hội thảo; chuyển pilot Đợt 1 thành hợp đồng</t>
  </si>
  <si>
    <t xml:space="preserve">Tổ chức 1 hội thảo chuyên đề (ví dụ 'Hợp nhất học liệu sau sáp nhập' hoặc 'Thực hành ảo cho trường nghề'), mời nhiều trường Đợt 3 cùng lúc, dùng case pilot Đợt 1 làm minh chứng.</t>
  </si>
  <si>
    <t xml:space="preserve">Đợt 4 – Ngoài HN</t>
  </si>
  <si>
    <t xml:space="preserve">05 – 07/2027</t>
  </si>
  <si>
    <t xml:space="preserve">Mở rộng sang tỉnh lân cận với case study Hà Nội</t>
  </si>
  <si>
    <t xml:space="preserve">Giữ nguyên khung chấm điểm; thay C9 bằng khoảng cách/thời gian di chuyển từ Hà Nội. Ưu tiên tỉnh có cụm trường nghề (Bắc Ninh, Hưng Yên, Phú Thọ, Ninh Bình).</t>
  </si>
  <si>
    <t xml:space="preserve">LỊCH CÔNG VIỆC</t>
  </si>
  <si>
    <t xml:space="preserve">Giai đoạn</t>
  </si>
  <si>
    <t xml:space="preserve">Từ</t>
  </si>
  <si>
    <t xml:space="preserve">Đến</t>
  </si>
  <si>
    <t xml:space="preserve">Việc chính</t>
  </si>
  <si>
    <t xml:space="preserve">Đầu ra</t>
  </si>
  <si>
    <t xml:space="preserve">0. Chuẩn bị</t>
  </si>
  <si>
    <t xml:space="preserve">19/10/2026</t>
  </si>
  <si>
    <t xml:space="preserve">01/11/2026</t>
  </si>
  <si>
    <t xml:space="preserve">• Xác minh 16 trường Đợt 1: website, gọi tổng đài/phòng Đào tạo, hỏi người quen. Sửa điểm C1, C5, C10.
• Điền C8 (quan hệ) cho toàn bộ danh sách.
• Bộ chào hàng theo 7 phân khúc (sheet Kịch bản): 1 trang giới thiệu + 1 đề xuất pilot mẫu.
• Demo 3 mô-đun: 1 mô phỏng điện/ô tô, 1 mô phỏng điều dưỡng, 1 khóa tiếng Anh chuyên ngành.
• Hồ sơ năng lực pháp nhân, bảng giá khung, gói pilot 1 học kỳ.
• Kiểm tra học liệu có xuất SCORM/xAPI/LTI để chạy trên LMS sẵn có của trường.</t>
  </si>
  <si>
    <t xml:space="preserve">Danh sách Đợt 1 đã xác minh; bộ tài liệu; demo chạy được</t>
  </si>
  <si>
    <t xml:space="preserve">1. Đợt 1</t>
  </si>
  <si>
    <t xml:space="preserve">02/11/2026</t>
  </si>
  <si>
    <t xml:space="preserve">20/12/2026</t>
  </si>
  <si>
    <t xml:space="preserve">• Mỗi tuần liên hệ 3–4 trường, gặp 2.
• Cuộc gặp đầu: hỏi theo sheet Câu hỏi khảo sát, không trình bày cả gói ngay.
• Trong 5 ngày sau gặp: gửi tóm tắt nhu cầu + đề xuất pilot.
• Cập nhật Pipeline sau mỗi lần liên hệ.</t>
  </si>
  <si>
    <t xml:space="preserve">≥10 cuộc gặp, ≥3 đề xuất pilot</t>
  </si>
  <si>
    <t xml:space="preserve">2. Đợt 2</t>
  </si>
  <si>
    <t xml:space="preserve">07/12/2026</t>
  </si>
  <si>
    <t xml:space="preserve">24/01/2027</t>
  </si>
  <si>
    <t xml:space="preserve">• Tương tự Đợt 1, dùng bộ chào hàng đã chỉnh.
• Gặp Sở GD&amp;ĐT Hà Nội (phòng phụ trách GDNN-GDTX) về đề xuất cấp cụm cho 14 TT.</t>
  </si>
  <si>
    <t xml:space="preserve">≥12 cuộc gặp, 1–2 pilot ký</t>
  </si>
  <si>
    <t xml:space="preserve">Tết Nguyên đán</t>
  </si>
  <si>
    <t xml:space="preserve">25/01/2027</t>
  </si>
  <si>
    <t xml:space="preserve">21/02/2027</t>
  </si>
  <si>
    <t xml:space="preserve">• Không mở liên hệ mới (Tết 06/02/2027).
• Triển khai pilot, số hóa học liệu mẫu, viết case study.</t>
  </si>
  <si>
    <t xml:space="preserve">Case study đầu tiên</t>
  </si>
  <si>
    <t xml:space="preserve">3. Đợt 3 + chuyển đổi</t>
  </si>
  <si>
    <t xml:space="preserve">22/02/2027</t>
  </si>
  <si>
    <t xml:space="preserve">30/04/2027</t>
  </si>
  <si>
    <t xml:space="preserve">• Hội thảo chuyên đề cho trường Đợt 3.
• Đo kết quả pilot, đề xuất hợp đồng năm.</t>
  </si>
  <si>
    <t xml:space="preserve">Hợp đồng đầu tiên từ pilot</t>
  </si>
  <si>
    <t xml:space="preserve">4. Ngoài Hà Nội</t>
  </si>
  <si>
    <t xml:space="preserve">01/05/2027</t>
  </si>
  <si>
    <t xml:space="preserve">31/07/2027</t>
  </si>
  <si>
    <t xml:space="preserve">• Chấm lại các trường tỉnh bằng cùng khung.
• Tiếp cận qua hội thảo/đối tác địa phương.</t>
  </si>
  <si>
    <t xml:space="preserve">Danh sách tỉnh + 5–8 cuộc gặp</t>
  </si>
  <si>
    <t xml:space="preserve">PHỄU TIẾN ĐỘ (đếm từ sheet Pipeline)</t>
  </si>
  <si>
    <t xml:space="preserve">Đã đạt (tự đếm)</t>
  </si>
  <si>
    <t xml:space="preserve">Mục tiêu hết Đợt 2</t>
  </si>
  <si>
    <t xml:space="preserve">Tỷ lệ đạt</t>
  </si>
  <si>
    <t xml:space="preserve">Cách đếm</t>
  </si>
  <si>
    <t xml:space="preserve">1. Trong danh sách</t>
  </si>
  <si>
    <t xml:space="preserve">Số trường có trong Pipeline</t>
  </si>
  <si>
    <t xml:space="preserve">2. Đã liên hệ</t>
  </si>
  <si>
    <t xml:space="preserve">Số trường đã tới giai đoạn 2 trở lên (không tính Dừng/Mất)</t>
  </si>
  <si>
    <t xml:space="preserve">3. Đã gặp</t>
  </si>
  <si>
    <t xml:space="preserve">Số trường đã tới giai đoạn 3 trở lên (không tính Dừng/Mất)</t>
  </si>
  <si>
    <t xml:space="preserve">4. Đã khảo sát nhu cầu</t>
  </si>
  <si>
    <t xml:space="preserve">Số trường đã tới giai đoạn 4 trở lên (không tính Dừng/Mất)</t>
  </si>
  <si>
    <t xml:space="preserve">5. Demo/Pilot</t>
  </si>
  <si>
    <t xml:space="preserve">Số trường đã tới giai đoạn 5 trở lên (không tính Dừng/Mất)</t>
  </si>
  <si>
    <t xml:space="preserve">6. Đã gửi báo giá</t>
  </si>
  <si>
    <t xml:space="preserve">Số trường đã tới giai đoạn 6 trở lên (không tính Dừng/Mất)</t>
  </si>
  <si>
    <t xml:space="preserve">7. Ký hợp đồng</t>
  </si>
  <si>
    <t xml:space="preserve">Số trường ở giai đoạn 7</t>
  </si>
  <si>
    <t xml:space="preserve">Mục tiêu phễu là giả định để theo dõi (bạn sửa ô vàng): khoảng 55% trường liên hệ được sẽ gặp, khoảng 60% số đã gặp đi tới khảo sát nhu cầu. Điều chỉnh sau 4 tuần đầu theo số liệu thật.</t>
  </si>
  <si>
    <t xml:space="preserve">Khung tiêu chí &amp; trọng số</t>
  </si>
  <si>
    <t xml:space="preserve">Sửa ô vàng. Mọi điểm trong sheet 'Chấm điểm' và phân đợt cập nhật theo.</t>
  </si>
  <si>
    <t xml:space="preserve">Mã</t>
  </si>
  <si>
    <t xml:space="preserve">Tiêu chí</t>
  </si>
  <si>
    <t xml:space="preserve">Trọng số (%)</t>
  </si>
  <si>
    <t xml:space="preserve">Đo cái gì</t>
  </si>
  <si>
    <t xml:space="preserve">Điểm 1</t>
  </si>
  <si>
    <t xml:space="preserve">Điểm 3</t>
  </si>
  <si>
    <t xml:space="preserve">Điểm 5</t>
  </si>
  <si>
    <t xml:space="preserve">C1</t>
  </si>
  <si>
    <t xml:space="preserve">Khoảng trống LMS</t>
  </si>
  <si>
    <t xml:space="preserve">Trường càng thiếu LMS (đặc biệt LMS cho thực hành) thì nhu cầu càng lớn và ít bị nhà cung cấp cũ chiếm chỗ</t>
  </si>
  <si>
    <t xml:space="preserve">Đã có hệ sinh thái LMS tự phát triển/đồng bộ</t>
  </si>
  <si>
    <t xml:space="preserve">Có Moodle/e-learning lý thuyết</t>
  </si>
  <si>
    <t xml:space="preserve">Chưa có LMS hoặc chỉ dùng Google Classroom/Drive</t>
  </si>
  <si>
    <t xml:space="preserve">C2</t>
  </si>
  <si>
    <t xml:space="preserve">Khớp mô phỏng</t>
  </si>
  <si>
    <t xml:space="preserve">Số nhóm ngành khớp 4 mảng mô phỏng: điện–điện tử; cơ khí/ô tô/thiết bị; y tế–điều dưỡng; phòng thí nghiệm khoa học</t>
  </si>
  <si>
    <t xml:space="preserve">Không ngành nào khớp</t>
  </si>
  <si>
    <t xml:space="preserve">Khớp 1 nhóm ngành</t>
  </si>
  <si>
    <t xml:space="preserve">Khớp từ 3 nhóm, hoặc 1–2 nhóm 'rất khớp' và là thế mạnh trường</t>
  </si>
  <si>
    <t xml:space="preserve">C3</t>
  </si>
  <si>
    <t xml:space="preserve">Nhu cầu ngoại ngữ</t>
  </si>
  <si>
    <t xml:space="preserve">Áp lực chuẩn đầu ra ngoại ngữ, Đề án 2371 (tiếng Anh ngôn ngữ thứ hai), ngành cần ngoại ngữ (du lịch, điều dưỡng đi làm việc nước ngoài, hợp tác Hàn/Nhật/Đức)</t>
  </si>
  <si>
    <t xml:space="preserve">Ngành năng khiếu, ít cần ngoại ngữ</t>
  </si>
  <si>
    <t xml:space="preserve">Ngoại ngữ là môn chung/chuẩn đầu ra</t>
  </si>
  <si>
    <t xml:space="preserve">Ngoại ngữ là năng lực nghề cốt lõi hoặc có chương trình liên kết nước ngoài</t>
  </si>
  <si>
    <t xml:space="preserve">C4</t>
  </si>
  <si>
    <t xml:space="preserve">Nhu cầu số hóa học liệu</t>
  </si>
  <si>
    <t xml:space="preserve">Khối lượng giáo trình cần số hóa, ngành nặng thực hành, trường vừa gộp cần chuẩn hóa học liệu của nhiều trường cũ</t>
  </si>
  <si>
    <t xml:space="preserve">Đã có thư viện số/học liệu số đầy đủ</t>
  </si>
  <si>
    <t xml:space="preserve">Trường nghề thông thường, học liệu chủ yếu giấy/PDF</t>
  </si>
  <si>
    <t xml:space="preserve">Vừa sáp nhập/nâng cấp, phải hợp nhất học liệu nhiều đơn vị</t>
  </si>
  <si>
    <t xml:space="preserve">C5</t>
  </si>
  <si>
    <t xml:space="preserve">Quy mô người học</t>
  </si>
  <si>
    <t xml:space="preserve">Số HSSV và số ngành; quy mô càng lớn, giá trị hợp đồng và mức lan tỏa càng cao</t>
  </si>
  <si>
    <t xml:space="preserve">Trường nhỏ, chuyên biệt</t>
  </si>
  <si>
    <t xml:space="preserve">Quy mô trung bình / chưa rõ</t>
  </si>
  <si>
    <t xml:space="preserve">Trường lớn, nhiều ngành, nhiều cơ sở</t>
  </si>
  <si>
    <t xml:space="preserve">C6</t>
  </si>
  <si>
    <t xml:space="preserve">Năng lực &amp; tốc độ chi</t>
  </si>
  <si>
    <t xml:space="preserve">Cơ chế tài chính và tốc độ ra quyết định: tư thục nhanh; công lập tự chủ khá; công lập phụ thuộc ngân sách chậm, qua dự toán/đấu thầu</t>
  </si>
  <si>
    <t xml:space="preserve">Phụ thuộc ngân sách, quy trình dài</t>
  </si>
  <si>
    <t xml:space="preserve">Công lập trực thuộc bộ/thành phố, có nguồn thu sự nghiệp</t>
  </si>
  <si>
    <t xml:space="preserve">Tư thục hoặc tự chủ tài chính, chủ trường quyết nhanh</t>
  </si>
  <si>
    <t xml:space="preserve">C7</t>
  </si>
  <si>
    <t xml:space="preserve">Sự kiện kích hoạt</t>
  </si>
  <si>
    <t xml:space="preserve">Có sự kiện buộc trường phải đầu tư ngay: mới sáp nhập, lãnh đạo mới, nâng cấp lên cao đẳng, kiểm định, đề án chuyển đổi số</t>
  </si>
  <si>
    <t xml:space="preserve">Không có sự kiện đặc biệt</t>
  </si>
  <si>
    <t xml:space="preserve">Có động lực chính sách chung (Đề án 2371, chuyển đổi số)</t>
  </si>
  <si>
    <t xml:space="preserve">Vừa sáp nhập/nâng cấp/đổi lãnh đạo trong 6 tháng qua</t>
  </si>
  <si>
    <t xml:space="preserve">C8</t>
  </si>
  <si>
    <t xml:space="preserve">Đường tiếp cận</t>
  </si>
  <si>
    <t xml:space="preserve">Bạn có người quen/giới thiệu tới người ra quyết định không. BẠN TỰ ĐIỀN (mặc định 1)</t>
  </si>
  <si>
    <t xml:space="preserve">Chưa có ai, tiếp cận lạnh</t>
  </si>
  <si>
    <t xml:space="preserve">Có người quen gián tiếp (cựu SV, đối tác, hội nhóm)</t>
  </si>
  <si>
    <t xml:space="preserve">Quen trực tiếp BGH/Trưởng phòng Đào tạo</t>
  </si>
  <si>
    <t xml:space="preserve">C9</t>
  </si>
  <si>
    <t xml:space="preserve">Khoảng cách</t>
  </si>
  <si>
    <t xml:space="preserve">Vùng theo khoảng cách từ Hà Đông; ảnh hưởng chi phí gặp trực tiếp và hỗ trợ triển khai</t>
  </si>
  <si>
    <t xml:space="preserve">Ngoài Hà Nội</t>
  </si>
  <si>
    <t xml:space="preserve">Vùng 3 (11–15 km)</t>
  </si>
  <si>
    <t xml:space="preserve">Vùng 1 (≤5 km)</t>
  </si>
  <si>
    <t xml:space="preserve">C10</t>
  </si>
  <si>
    <t xml:space="preserve">Năng lực triển khai phía trường</t>
  </si>
  <si>
    <t xml:space="preserve">Trường có đủ hạ tầng, nhân sự CNTT và thói quen số để dùng được sản phẩm (đối trọng của C1: trường quá sơ khai thì triển khai rủi ro)</t>
  </si>
  <si>
    <t xml:space="preserve">Sơ khai: dữ liệu rời rạc trên bảng tính</t>
  </si>
  <si>
    <t xml:space="preserve">Trung bình: đã có cổng tra cứu/tuyển sinh online</t>
  </si>
  <si>
    <t xml:space="preserve">Đã số hóa quản lý bài bản</t>
  </si>
  <si>
    <t xml:space="preserve">C11</t>
  </si>
  <si>
    <t xml:space="preserve">Giá trị tham chiếu</t>
  </si>
  <si>
    <t xml:space="preserve">Thắng trường này có giúp bán cho trường khác không (trường đầu tàu, cùng hệ thống với nhiều trường, thương hiệu lớn)</t>
  </si>
  <si>
    <t xml:space="preserve">Trường lẻ, ít ảnh hưởng</t>
  </si>
  <si>
    <t xml:space="preserve">Trường trung bình trong mạng lưới</t>
  </si>
  <si>
    <t xml:space="preserve">Đầu tàu ngành/thuộc hệ thống nhiều trường cùng chủ quản</t>
  </si>
  <si>
    <t xml:space="preserve">Tổng trọng số</t>
  </si>
  <si>
    <t xml:space="preserve">Nhóm: Nhu cầu (C1–C4) = 40%; Khả năng mua (C5–C7) = 28%; Tiếp cận (C8–C9) = 18%; Khả thi &amp; lan tỏa (C10–C11) = 14%</t>
  </si>
  <si>
    <t xml:space="preserve">Ngưỡng Đợt 1 (điểm ≥)</t>
  </si>
  <si>
    <t xml:space="preserve">Chọn 70 để Đợt 1 có khoảng 16 trường, vừa sức tiếp cận trong 7 tuần (xem sheet Kế hoạch). Dưới ngưỡng Đợt 2 là Đợt 3. Trường ngoài Hà Nội luôn vào Đợt 4.</t>
  </si>
  <si>
    <t xml:space="preserve">Ngưỡng Đợt 2 (điểm ≥)</t>
  </si>
  <si>
    <t xml:space="preserve">Chấm điểm &amp; xếp hạng</t>
  </si>
  <si>
    <t xml:space="preserve">Ô vàng là dữ liệu nhập. C8 (cột R) mặc định 1, hãy điền. C9 tự tính từ cột Vùng. Dùng bộ lọc ở hàng tiêu đề để sắp xếp/lọc theo Đợt, Loại hình.</t>
  </si>
  <si>
    <t xml:space="preserve">Trọng số →</t>
  </si>
  <si>
    <t xml:space="preserve">Hạng</t>
  </si>
  <si>
    <t xml:space="preserve">Trường</t>
  </si>
  <si>
    <t xml:space="preserve">Loại hình</t>
  </si>
  <si>
    <t xml:space="preserve">Chủ quản</t>
  </si>
  <si>
    <t xml:space="preserve">Vùng</t>
  </si>
  <si>
    <t xml:space="preserve">Km từ Hà Đông (file gốc)</t>
  </si>
  <si>
    <t xml:space="preserve">Ngành chính</t>
  </si>
  <si>
    <t xml:space="preserve">Hiện trạng LMS (file gốc)</t>
  </si>
  <si>
    <t xml:space="preserve">Số hóa quản lý (file gốc)</t>
  </si>
  <si>
    <t xml:space="preserve">C1
Khoảng trống LMS</t>
  </si>
  <si>
    <t xml:space="preserve">C2
Khớp mô phỏng</t>
  </si>
  <si>
    <t xml:space="preserve">C3
Nhu cầu ngoại ngữ</t>
  </si>
  <si>
    <t xml:space="preserve">C4
Nhu cầu số hóa học liệu</t>
  </si>
  <si>
    <t xml:space="preserve">C5
Quy mô người học</t>
  </si>
  <si>
    <t xml:space="preserve">C6
Năng lực &amp; tốc độ chi</t>
  </si>
  <si>
    <t xml:space="preserve">C7
Sự kiện kích hoạt</t>
  </si>
  <si>
    <t xml:space="preserve">C8
Đường tiếp cận</t>
  </si>
  <si>
    <t xml:space="preserve">C9
Khoảng cách</t>
  </si>
  <si>
    <t xml:space="preserve">C10
Năng lực triển khai phía trường</t>
  </si>
  <si>
    <t xml:space="preserve">C11
Giá trị tham chiếu</t>
  </si>
  <si>
    <t xml:space="preserve">Tổng điểm (/100)</t>
  </si>
  <si>
    <t xml:space="preserve">Đợt đề xuất</t>
  </si>
  <si>
    <t xml:space="preserve">Gói chào mở cửa (tự động)</t>
  </si>
  <si>
    <t xml:space="preserve">Độ tin cậy dữ liệu</t>
  </si>
  <si>
    <t xml:space="preserve">Căn cứ chấm sơ bộ (từng tiêu chí)</t>
  </si>
  <si>
    <t xml:space="preserve">Ghi chú</t>
  </si>
  <si>
    <t xml:space="preserve">Website</t>
  </si>
  <si>
    <t xml:space="preserve">Nguồn dòng</t>
  </si>
  <si>
    <t xml:space="preserve">Trường ĐH Phenikaa</t>
  </si>
  <si>
    <t xml:space="preserve">Đại học</t>
  </si>
  <si>
    <t xml:space="preserve">Tư thục</t>
  </si>
  <si>
    <t xml:space="preserve">1</t>
  </si>
  <si>
    <t xml:space="preserve">Kỹ thuật, ô tô, điện tử, y dược, điều dưỡng</t>
  </si>
  <si>
    <t xml:space="preserve">Cần khảo sát (chưa rõ, giả định có LMS/Moodle cơ bản)</t>
  </si>
  <si>
    <t xml:space="preserve">Cần khảo sát</t>
  </si>
  <si>
    <t xml:space="preserve">Đề án 2371: chuẩn đầu ra tiếng Anh</t>
  </si>
  <si>
    <t xml:space="preserve">Ước lượng – LMS/quy mô cần khảo sát</t>
  </si>
  <si>
    <t xml:space="preserve">C1=3: chưa rõ, giả định có LMS/Moodle cơ bản | C2=5: khớp: điện–điện tử, cơ khí/ô tô/thiết bị, y tế, lab khoa học | C3=5: Đề án 2371 + chuẩn đầu ra tiếng Anh ĐH | C4=4: khối lượng giáo trình lớn | C5=5: rất lớn | C6=5: Tư thục | C7=3: Đề án 2371: chuẩn đầu ra tiếng Anh | C8=1: chưa có quan hệ (tự cập nhật) | C9=5: Vùng 1 (ước lượng) | C10=5: hạ tầng CNTT mạnh | C11=4: uy tín trong khối ngành</t>
  </si>
  <si>
    <t xml:space="preserve">Bổ sung</t>
  </si>
  <si>
    <t xml:space="preserve">CĐ Y tế Hà Nội (đã hợp nhất CĐ Y tế Hà Đông)</t>
  </si>
  <si>
    <t xml:space="preserve">Cao đẳng</t>
  </si>
  <si>
    <t xml:space="preserve">Công lập – TP Hà Nội</t>
  </si>
  <si>
    <t xml:space="preserve">Kỹ thuật Xét nghiệm y học, Điều dưỡng, Dược, Thiết bị y tế cơ bản</t>
  </si>
  <si>
    <t xml:space="preserve">Chưa có LMS thực hành. Đang duy trì cổng thông tin đào tạo trên cdythadong.edu.vn.</t>
  </si>
  <si>
    <t xml:space="preserve">Cơ bản. Đã có tra cứu điểm thi, quản lý hồ sơ sinh viên nội bộ qua website.</t>
  </si>
  <si>
    <t xml:space="preserve">Hợp nhất CĐ Y tế Hà Đông + CĐ Y tế Hà Nội (QĐ 2026); BGH mới bổ nhiệm 6/10/2026</t>
  </si>
  <si>
    <t xml:space="preserve">Đã xác minh sáp nhập; hiện trạng LMS là của CĐ Y tế Hà Đông cũ</t>
  </si>
  <si>
    <t xml:space="preserve">C1=5: chưa có LMS (theo file) | C2=5: khớp: cơ khí/ô tô/thiết bị, y tế, lab khoa học | C3=4: điều dưỡng/y tế: nhu cầu tiếng Nhật/Đức/Anh để làm việc nước ngoài | C4=5: vừa gộp trường, phải hợp nhất học liệu | C5=4: lớn, nhiều ngành | C6=3: Công lập – TP Hà Nội | C7=5: Hợp nhất CĐ Y tế Hà Đông + CĐ Y tế Hà Nội (QĐ 2026); BGH mới bổ nhiệm 6/10/2026 | C8=1: chưa có quan hệ (tự cập nhật) | C9=5: Vùng 1 | C10=2: số hóa quản lý cơ bản | C11=4: thuộc hệ thống trường của TP/bộ, dễ nhân rộng</t>
  </si>
  <si>
    <t xml:space="preserve">Hiệu trưởng: Phạm Văn Tân (TB 750-TB/TU)</t>
  </si>
  <si>
    <t xml:space="preserve">cdythadong.edu.vn</t>
  </si>
  <si>
    <t xml:space="preserve">File gốc #1</t>
  </si>
  <si>
    <t xml:space="preserve">CĐ nghề Việt Nam – Hàn Quốc TP Hà Nội</t>
  </si>
  <si>
    <t xml:space="preserve">3</t>
  </si>
  <si>
    <t xml:space="preserve">Cơ khí, điện – điện tử, ô tô, CNTT (hợp tác Hàn Quốc)</t>
  </si>
  <si>
    <t xml:space="preserve">Nhận sáp nhập 2 trường trung cấp (KH 292/KH-UBND); BGH mới 6/10/2026</t>
  </si>
  <si>
    <t xml:space="preserve">Đã xác minh sáp nhập; vị trí/LMS cần khảo sát</t>
  </si>
  <si>
    <t xml:space="preserve">C1=4: chưa rõ, giả định LMS rời rạc sau sáp nhập | C2=4: khớp: điện–điện tử, cơ khí/ô tô | C3=5: tiếng Hàn là lợi thế cốt lõi | C4=5: vừa nhận 2 trường trung cấp, phải hợp nhất học liệu | C5=4: lớn sau sáp nhập | C6=3: Công lập – TP Hà Nội | C7=5: Nhận sáp nhập 2 trường trung cấp (KH 292/KH-UBND); BGH mới 6/10/2026 (TC nghề Cơ khí I HN + TC KT-KT Bắc Thăng Long) | C8=1: chưa có quan hệ (tự cập nhật) | C9=3: Vùng 3 (ước lượng) | C10=3: chưa rõ | C11=4: thuộc hệ thống trường của TP</t>
  </si>
  <si>
    <t xml:space="preserve">Hiệu trưởng: Nguyễn Công Truyền (TB 750-TB/TU)</t>
  </si>
  <si>
    <t xml:space="preserve">CĐ Kỹ thuật - Công nghệ Bách Khoa (CTECH)</t>
  </si>
  <si>
    <t xml:space="preserve">Thiết kế vi mạch, Điện tử - Viễn thông, Cơ điện tử, Ô tô</t>
  </si>
  <si>
    <t xml:space="preserve">Chưa có LMS thực hành. Cổng thông tin chính tại ctech.edu.vn, tuyển sinh tại tuyensinh.ctech.edu.vn.</t>
  </si>
  <si>
    <t xml:space="preserve">Đang nâng cấp. Trường tư thục quy mô lớn đang đầu tư mạnh vào cơ sở vật chất mới.</t>
  </si>
  <si>
    <t xml:space="preserve">Đang đầu tư mạnh cơ sở vật chất mới</t>
  </si>
  <si>
    <t xml:space="preserve">Chưa xác minh (file gốc)</t>
  </si>
  <si>
    <t xml:space="preserve">C1=5: chưa có LMS (theo file) | C2=5: khớp: điện–điện tử, cơ khí/ô tô/thiết bị | C3=3: ngoại ngữ là chuẩn đầu ra chung | C4=4: trường nghề nặng thực hành, học liệu chủ yếu giấy/PDF | C5=4: lớn, nhiều ngành | C6=5: Tư thục | C7=4: Đang đầu tư mạnh cơ sở vật chất mới | C8=1: chưa có quan hệ (tự cập nhật) | C9=3: Vùng 3 | C10=3: đang nâng cấp | C11=3: trường trong mạng lưới</t>
  </si>
  <si>
    <t xml:space="preserve">ctech.edu.vn</t>
  </si>
  <si>
    <t xml:space="preserve">File gốc #34</t>
  </si>
  <si>
    <t xml:space="preserve">CĐ Thương mại và Du lịch Hà Nội (đã nhận CĐ Cộng đồng HN)</t>
  </si>
  <si>
    <t xml:space="preserve">Kỹ thuật chế biến món ăn, Thương mại điện tử, Quản trị mạng</t>
  </si>
  <si>
    <t xml:space="preserve">Có cổng học tập số. Chia sẻ kho bài giảng điện tử và kiểm tra trắc nghiệm online.</t>
  </si>
  <si>
    <t xml:space="preserve">Khá. Có phân hệ quản trị đào tạo theo tín chỉ và cổng tiếp nhận sinh viên.</t>
  </si>
  <si>
    <t xml:space="preserve">Nhận sáp nhập CĐ Cộng đồng HN + TC Nấu ăn-NVDL&amp;TT HN; BGH mới 6/10/2026</t>
  </si>
  <si>
    <t xml:space="preserve">Đã xác minh sáp nhập; gộp dòng #15 (CĐ Cộng đồng HN) vào đây</t>
  </si>
  <si>
    <t xml:space="preserve">C1=3: có e-learning lý thuyết | C2=4: khớp: điện–điện tử, lab khoa học | C3=5: ngành du lịch/thương mại/liên kết Hàn: ngoại ngữ là năng lực nghề | C4=5: vừa gộp trường, phải hợp nhất học liệu | C5=4: lớn, nhiều ngành | C6=3: Công lập – TP Hà Nội | C7=5: Nhận sáp nhập CĐ Cộng đồng HN + TC Nấu ăn-NVDL&amp;TT HN; BGH mới 6/10/2026 | C8=1: chưa có quan hệ (tự cập nhật) | C9=3: Vùng 3 | C10=4: số hóa quản lý khá | C11=4: thuộc hệ thống trường của TP/bộ, dễ nhân rộng</t>
  </si>
  <si>
    <t xml:space="preserve">Hiệu trưởng: Trịnh Thị Thu Hà (TB 750-TB/TU)</t>
  </si>
  <si>
    <t xml:space="preserve">hcat.edu.vn</t>
  </si>
  <si>
    <t xml:space="preserve">File gốc #33 + #15</t>
  </si>
  <si>
    <t xml:space="preserve">Trường ĐH Công nghiệp Hà Nội (HaUI)</t>
  </si>
  <si>
    <t xml:space="preserve">Công lập – tự chủ</t>
  </si>
  <si>
    <t xml:space="preserve">Cơ khí, điện, điện tử, ô tô, ngoại ngữ</t>
  </si>
  <si>
    <t xml:space="preserve">Cần khảo sát (nhiều khả năng đã có LMS (giả định))</t>
  </si>
  <si>
    <t xml:space="preserve">Đề án 2371</t>
  </si>
  <si>
    <t xml:space="preserve">C1=2: nhiều khả năng đã có LMS (giả định) | C2=5: khớp: điện–điện tử, cơ khí/ô tô/thiết bị | C3=5: Đề án 2371 + chuẩn đầu ra tiếng Anh ĐH | C4=4: khối lượng giáo trình lớn | C5=5: rất lớn | C6=4: Công lập – tự chủ | C7=3: Đề án 2371 | C8=1: chưa có quan hệ (tự cập nhật) | C9=3: Vùng 3 (ước lượng) | C10=5: hạ tầng CNTT mạnh | C11=5: thương hiệu đầu ngành</t>
  </si>
  <si>
    <t xml:space="preserve">Quy mô rất lớn; nhiều khả năng đã có hệ thống riêng</t>
  </si>
  <si>
    <t xml:space="preserve">CĐ nghề Công nghiệp Hà Nội (HNIVC)</t>
  </si>
  <si>
    <t xml:space="preserve">2</t>
  </si>
  <si>
    <t xml:space="preserve">Điện - Điện tử, Cơ điện tử, Tự động hóa, Ô tô, Cơ khí CNC</t>
  </si>
  <si>
    <t xml:space="preserve">Đã có LMS chuẩn: elearning.hnivc.edu.vn. Quản lý sinh viên tại sinhvien.hnivc.edu.vn.</t>
  </si>
  <si>
    <t xml:space="preserve">Đã số hóa bài bản. Tách biệt rõ ràng giữa quản lý đào tạo, hồ sơ sinh viên và cổng LMS.</t>
  </si>
  <si>
    <t xml:space="preserve">Nhận sáp nhập TC Kỹ thuật Tin học HN + TC KT-KT&amp;CN HN; BGH mới 6/10/2026</t>
  </si>
  <si>
    <t xml:space="preserve">Đã xác minh sáp nhập</t>
  </si>
  <si>
    <t xml:space="preserve">C1=2: đã có LMS đầy đủ | C2=5: khớp: điện–điện tử, cơ khí/ô tô/thiết bị, lab khoa học | C3=3: ngoại ngữ là chuẩn đầu ra chung | C4=5: vừa gộp trường, phải hợp nhất học liệu | C5=4: lớn, nhiều ngành | C6=3: Công lập – TP Hà Nội | C7=5: Nhận sáp nhập TC Kỹ thuật Tin học HN + TC KT-KT&amp;CN HN; BGH mới 6/10/2026 | C8=1: chưa có quan hệ (tự cập nhật) | C9=4: Vùng 2 | C10=5: đã số hóa quản lý tốt | C11=4: thuộc hệ thống trường của TP/bộ, dễ nhân rộng</t>
  </si>
  <si>
    <t xml:space="preserve">Hiệu trưởng: Phạm Thị Hường (TB 750-TB/TU)</t>
  </si>
  <si>
    <t xml:space="preserve">hnivc.edu.vn</t>
  </si>
  <si>
    <t xml:space="preserve">File gốc #14</t>
  </si>
  <si>
    <t xml:space="preserve">Trường ĐH Xây dựng Hà Nội</t>
  </si>
  <si>
    <t xml:space="preserve">Xây dựng, cơ khí, môi trường, BIM</t>
  </si>
  <si>
    <t xml:space="preserve">C1=3: chưa rõ, giả định có LMS/Moodle cơ bản | C2=4: khớp: cơ khí/ô tô/thiết bị, lab khoa học | C3=4: Đề án 2371 + chuẩn đầu ra tiếng Anh ĐH | C4=4: khối lượng giáo trình lớn | C5=5: rất lớn | C6=4: Công lập – tự chủ | C7=3: Đề án 2371 | C8=1: chưa có quan hệ (tự cập nhật) | C9=4: Vùng 2 (ước lượng) | C10=5: hạ tầng CNTT mạnh | C11=4: uy tín trong khối ngành</t>
  </si>
  <si>
    <t xml:space="preserve">CĐ Điện tử - Điện lạnh Hà Nội (CER)</t>
  </si>
  <si>
    <t xml:space="preserve">Điện tử công nghiệp, Kỹ thuật máy lạnh (VRV/Chiller), Xe điện</t>
  </si>
  <si>
    <t xml:space="preserve">Có E-learning từ xa: Tích hợp trên dtdl.edu.vn/gioi-thieu/ (hợp tác triển khai cùng AUM).</t>
  </si>
  <si>
    <t xml:space="preserve">Khá. Đã số hóa cổng sinh viên và lịch giảng dạy trực tuyến.</t>
  </si>
  <si>
    <t xml:space="preserve">Nhận sáp nhập TC nghề số 1 HN + TC Xây dựng HN; BGH mới 6/10/2026</t>
  </si>
  <si>
    <t xml:space="preserve">C1=3: có e-learning lý thuyết | C2=4: khớp: điện–điện tử | C3=3: ngoại ngữ là chuẩn đầu ra chung | C4=5: vừa gộp trường, phải hợp nhất học liệu | C5=4: lớn, nhiều ngành | C6=3: Công lập – TP Hà Nội | C7=5: Nhận sáp nhập TC nghề số 1 HN + TC Xây dựng HN; BGH mới 6/10/2026 | C8=1: chưa có quan hệ (tự cập nhật) | C9=4: Vùng 2 | C10=4: số hóa quản lý khá | C11=4: thuộc hệ thống trường của TP/bộ, dễ nhân rộng</t>
  </si>
  <si>
    <t xml:space="preserve">Hiệu trưởng: Trần Xuân Ngọc (TB 750-TB/TU)</t>
  </si>
  <si>
    <t xml:space="preserve">dtdl.edu.vn</t>
  </si>
  <si>
    <t xml:space="preserve">File gốc #24</t>
  </si>
  <si>
    <t xml:space="preserve">Trường ĐH Kinh doanh và Công nghệ Hà Nội (HUBT)</t>
  </si>
  <si>
    <t xml:space="preserve">Y, dược, kỹ thuật, kinh tế</t>
  </si>
  <si>
    <t xml:space="preserve">C1=3: chưa rõ, giả định có LMS/Moodle cơ bản | C2=4: khớp: y tế, lab khoa học | C3=4: Đề án 2371 + chuẩn đầu ra tiếng Anh ĐH | C4=4: khối lượng giáo trình lớn | C5=5: rất lớn | C6=5: Tư thục | C7=3: Đề án 2371 | C8=1: chưa có quan hệ (tự cập nhật) | C9=4: Vùng 2 (ước lượng) | C10=4: hạ tầng khá | C11=3: trường trung bình</t>
  </si>
  <si>
    <t xml:space="preserve">CĐ Công nghệ và Thương mại Hà Nội (HTT)</t>
  </si>
  <si>
    <t xml:space="preserve">Kỹ thuật Điện - Điện tử, Tự động hóa, Công nghệ Ô tô, CNTT</t>
  </si>
  <si>
    <t xml:space="preserve">Có E-learning cơ bản. Hỗ trợ sinh viên học các học phần lý thuyết từ xa.</t>
  </si>
  <si>
    <t xml:space="preserve">Khá. Đã có cổng thông tin tra cứu điểm thi và nộp hồ sơ nhập học online.</t>
  </si>
  <si>
    <t xml:space="preserve">Không có sự kiện riêng; chỉ có động lực chính sách chung</t>
  </si>
  <si>
    <t xml:space="preserve">C1=4: LMS mức cơ bản | C2=5: khớp: điện–điện tử, cơ khí/ô tô/thiết bị, lab khoa học | C3=5: ngành du lịch/thương mại/liên kết Hàn: ngoại ngữ là năng lực nghề | C4=4: trường nghề nặng thực hành, học liệu chủ yếu giấy/PDF | C5=3: trung bình/chưa rõ | C6=5: Tư thục | C7=2: Không có sự kiện riêng; chỉ có động lực chính sách chung | C8=1: chưa có quan hệ (tự cập nhật) | C9=3: Vùng 3 | C10=4: số hóa quản lý khá | C11=3: trường trong mạng lưới</t>
  </si>
  <si>
    <t xml:space="preserve">htt.edu.vn</t>
  </si>
  <si>
    <t xml:space="preserve">File gốc #36</t>
  </si>
  <si>
    <t xml:space="preserve">Trường ĐH Đại Nam</t>
  </si>
  <si>
    <t xml:space="preserve">Y dược, điều dưỡng, CNTT, ngôn ngữ</t>
  </si>
  <si>
    <t xml:space="preserve">C1=3: chưa rõ, giả định có LMS/Moodle cơ bản | C2=4: khớp: y tế, lab khoa học | C3=4: Đề án 2371 + chuẩn đầu ra tiếng Anh ĐH | C4=4: khối lượng giáo trình lớn | C5=4: lớn | C6=5: Tư thục | C7=3: Đề án 2371: chuẩn đầu ra tiếng Anh | C8=1: chưa có quan hệ (tự cập nhật) | C9=5: Vùng 1 (ước lượng) | C10=4: hạ tầng khá | C11=3: trường trung bình</t>
  </si>
  <si>
    <t xml:space="preserve">CĐ Y Dược Tuệ Tĩnh Hà Nội</t>
  </si>
  <si>
    <t xml:space="preserve">Y học cổ truyền, Dược học, Kỹ thuật Điều dưỡng</t>
  </si>
  <si>
    <t xml:space="preserve">Chưa có LMS chuyên biệt. Thông báo học tập qua website và lớp học Google Classroom.</t>
  </si>
  <si>
    <t xml:space="preserve">Trung bình. Tiếp nhận hồ sơ qua cổng Đăng ký trực tuyến.</t>
  </si>
  <si>
    <t xml:space="preserve">C1=5: chưa có LMS (theo file) | C2=4: khớp: y tế, lab khoa học | C3=4: điều dưỡng/y tế: nhu cầu tiếng Nhật/Đức/Anh để làm việc nước ngoài | C4=4: trường nghề nặng thực hành, học liệu chủ yếu giấy/PDF | C5=3: trung bình/chưa rõ | C6=5: Tư thục | C7=2: Không có sự kiện riêng; chỉ có động lực chính sách chung | C8=1: chưa có quan hệ (tự cập nhật) | C9=5: Vùng 1 | C10=3: số hóa trung bình | C11=3: trường trong mạng lưới</t>
  </si>
  <si>
    <t xml:space="preserve">tuetinh.edu.vn</t>
  </si>
  <si>
    <t xml:space="preserve">File gốc #2</t>
  </si>
  <si>
    <t xml:space="preserve">CĐ Y Dược Hà Nội (Phân viện Triều Khúc)</t>
  </si>
  <si>
    <t xml:space="preserve">Tư thục (cần xác minh)</t>
  </si>
  <si>
    <t xml:space="preserve">Dược, Điều dưỡng, Kỹ thuật Phục hồi chức năng</t>
  </si>
  <si>
    <t xml:space="preserve">Chưa có LMS thực hành. Mới có kho tài liệu số trên web.</t>
  </si>
  <si>
    <t xml:space="preserve">Trung bình. Có cổng xét tuyển trực tuyến và quản lý hồ sơ tân sinh viên.</t>
  </si>
  <si>
    <t xml:space="preserve">Chưa xác minh tên/cơ sở</t>
  </si>
  <si>
    <t xml:space="preserve">C1=5: chưa có LMS (theo file) | C2=4: khớp: y tế, lab khoa học | C3=4: điều dưỡng/y tế: nhu cầu tiếng Nhật/Đức/Anh để làm việc nước ngoài | C4=4: trường nghề nặng thực hành, học liệu chủ yếu giấy/PDF | C5=3: trung bình/chưa rõ | C6=5: Tư thục (cần xác minh) | C7=2: Không có sự kiện riêng; chỉ có động lực chính sách chung | C8=1: chưa có quan hệ (tự cập nhật) | C9=5: Vùng 1 | C10=3: số hóa trung bình | C11=3: trường trong mạng lưới</t>
  </si>
  <si>
    <t xml:space="preserve">cdyduochanoi.edu.vn</t>
  </si>
  <si>
    <t xml:space="preserve">File gốc #8</t>
  </si>
  <si>
    <t xml:space="preserve">Trường ĐH Thủy lợi</t>
  </si>
  <si>
    <t xml:space="preserve">Công lập – Bộ NN&amp;MT</t>
  </si>
  <si>
    <t xml:space="preserve">Xây dựng, cơ khí, điện, môi trường</t>
  </si>
  <si>
    <t xml:space="preserve">C1=3: chưa rõ, giả định có LMS/Moodle cơ bản | C2=5: khớp: điện–điện tử, cơ khí/ô tô/thiết bị, lab khoa học | C3=4: Đề án 2371 + chuẩn đầu ra tiếng Anh ĐH | C4=4: khối lượng giáo trình lớn | C5=5: rất lớn | C6=3: Công lập – Bộ NN&amp;MT | C7=3: Đề án 2371 | C8=1: chưa có quan hệ (tự cập nhật) | C9=4: Vùng 2 (ước lượng) | C10=4: hạ tầng khá | C11=4: uy tín trong khối ngành</t>
  </si>
  <si>
    <t xml:space="preserve">Trường ĐH Dược Hà Nội</t>
  </si>
  <si>
    <t xml:space="preserve">Công lập – Bộ Y tế</t>
  </si>
  <si>
    <t xml:space="preserve">Dược, hóa dược, công nghệ sinh học</t>
  </si>
  <si>
    <t xml:space="preserve">C1=3: chưa rõ, giả định có LMS/Moodle cơ bản | C2=4: khớp: y tế, lab khoa học | C3=4: Đề án 2371 + chuẩn đầu ra tiếng Anh ĐH | C4=4: khối lượng giáo trình lớn | C5=4: lớn | C6=4: Công lập – Bộ Y tế | C7=3: Đề án 2371 | C8=1: chưa có quan hệ (tự cập nhật) | C9=3: Vùng 3 (ước lượng) | C10=5: hạ tầng CNTT mạnh | C11=5: thương hiệu đầu ngành</t>
  </si>
  <si>
    <t xml:space="preserve">Học viện Công nghệ Bưu chính Viễn thông (PTIT)</t>
  </si>
  <si>
    <t xml:space="preserve">Điện tử viễn thông, CNTT, đa phương tiện</t>
  </si>
  <si>
    <t xml:space="preserve">C1=2: nhiều khả năng đã có LMS (giả định) | C2=4: khớp: điện–điện tử | C3=5: Đề án 2371 + chuẩn đầu ra tiếng Anh ĐH | C4=3: đã có một phần học liệu số | C5=5: rất lớn | C6=4: Công lập – tự chủ | C7=3: Đề án 2371: chuẩn đầu ra tiếng Anh | C8=1: chưa có quan hệ (tự cập nhật) | C9=5: Vùng 1 (ước lượng) | C10=5: hạ tầng CNTT mạnh | C11=4: uy tín trong khối ngành</t>
  </si>
  <si>
    <t xml:space="preserve">Mạnh CNTT, có thể tự làm LMS; chào khóa ngoại ngữ + mô phỏng mạch</t>
  </si>
  <si>
    <t xml:space="preserve">CĐ Y Dược Pasteur Hà Nội (CS Hà Đông)</t>
  </si>
  <si>
    <t xml:space="preserve">Dược, Điều dưỡng, Kỹ thuật Xét nghiệm, Hộ sinh</t>
  </si>
  <si>
    <t xml:space="preserve">Có E-learning lý thuyết. Đào tạo trực tuyến các học phần cơ sở ngành.</t>
  </si>
  <si>
    <t xml:space="preserve">Tốt khâu tuyển sinh. Hệ thống CRM tuyển sinh online phủ sóng toàn quốc.</t>
  </si>
  <si>
    <t xml:space="preserve">C1=3: có e-learning lý thuyết | C2=4: khớp: y tế, lab khoa học | C3=4: điều dưỡng/y tế: nhu cầu tiếng Nhật/Đức/Anh để làm việc nước ngoài | C4=4: trường nghề nặng thực hành, học liệu chủ yếu giấy/PDF | C5=4: lớn, nhiều ngành | C6=5: Tư thục | C7=2: Không có sự kiện riêng; chỉ có động lực chính sách chung | C8=1: chưa có quan hệ (tự cập nhật) | C9=5: Vùng 1 | C10=5: đã số hóa quản lý tốt | C11=3: trường trong mạng lưới</t>
  </si>
  <si>
    <t xml:space="preserve">caodangyduocpasteur.com.vn</t>
  </si>
  <si>
    <t xml:space="preserve">File gốc #6</t>
  </si>
  <si>
    <t xml:space="preserve">CĐ Ngoại ngữ và Công nghệ Việt Nam</t>
  </si>
  <si>
    <t xml:space="preserve">Kỹ thuật chế biến, Công nghệ Ô tô, CNTT, Kỹ thuật điện</t>
  </si>
  <si>
    <t xml:space="preserve">Chưa có LMS thực hành. Đang sử dụng các phần mềm họp trực tuyến bổ trợ.</t>
  </si>
  <si>
    <t xml:space="preserve">Trung bình. Hệ thống tuyển sinh online khá năng động qua landing page và mạng xã hội.</t>
  </si>
  <si>
    <t xml:space="preserve">C1=5: chưa có LMS (theo file) | C2=5: khớp: điện–điện tử, cơ khí/ô tô/thiết bị, lab khoa học | C3=4: trường có thế mạnh ngoại ngữ, có thể là đối thủ ở mảng khóa ngoại ngữ | C4=4: trường nghề nặng thực hành, học liệu chủ yếu giấy/PDF | C5=3: trung bình/chưa rõ | C6=5: Tư thục | C7=2: Không có sự kiện riêng; chỉ có động lực chính sách chung | C8=1: chưa có quan hệ (tự cập nhật) | C9=3: Vùng 3 | C10=3: số hóa trung bình | C11=3: trường trong mạng lưới</t>
  </si>
  <si>
    <t xml:space="preserve">caodangngoaingu.vn</t>
  </si>
  <si>
    <t xml:space="preserve">File gốc #37</t>
  </si>
  <si>
    <t xml:space="preserve">CĐ Dược Hà Nội (Cơ sở Hà Đông)</t>
  </si>
  <si>
    <t xml:space="preserve">Kỹ thuật Dược, Điều dưỡng, Kỹ thuật Vật lý trị liệu</t>
  </si>
  <si>
    <t xml:space="preserve">LMS mức cơ bản. Dùng hệ thống E-learning để trả bài kiểm tra trắc nghiệm.</t>
  </si>
  <si>
    <t xml:space="preserve">Khá. Quản lý dữ liệu sinh viên và đóng học phí trực tuyến qua cổng web.</t>
  </si>
  <si>
    <t xml:space="preserve">C1=4: LMS mức cơ bản | C2=4: khớp: y tế, lab khoa học | C3=4: điều dưỡng/y tế: nhu cầu tiếng Nhật/Đức/Anh để làm việc nước ngoài | C4=4: trường nghề nặng thực hành, học liệu chủ yếu giấy/PDF | C5=3: trung bình/chưa rõ | C6=5: Tư thục (cần xác minh) | C7=2: Không có sự kiện riêng; chỉ có động lực chính sách chung | C8=1: chưa có quan hệ (tự cập nhật) | C9=5: Vùng 1 | C10=4: số hóa quản lý khá | C11=3: trường trong mạng lưới</t>
  </si>
  <si>
    <t xml:space="preserve">duochanoi.edu.vn</t>
  </si>
  <si>
    <t xml:space="preserve">File gốc #7</t>
  </si>
  <si>
    <t xml:space="preserve">Trường ĐH Thăng Long</t>
  </si>
  <si>
    <t xml:space="preserve">Điều dưỡng, y tế công cộng, CNTT, ngôn ngữ</t>
  </si>
  <si>
    <t xml:space="preserve">C1=3: chưa rõ, giả định có LMS/Moodle cơ bản | C2=4: khớp: y tế | C3=4: Đề án 2371 + chuẩn đầu ra tiếng Anh ĐH | C4=4: khối lượng giáo trình lớn | C5=4: lớn | C6=5: Tư thục | C7=3: Đề án 2371 | C8=1: chưa có quan hệ (tự cập nhật) | C9=4: Vùng 2 (ước lượng) | C10=4: hạ tầng khá | C11=3: trường trung bình</t>
  </si>
  <si>
    <t xml:space="preserve">Trường ĐH Mở Hà Nội</t>
  </si>
  <si>
    <t xml:space="preserve">Công lập – Bộ GD&amp;ĐT</t>
  </si>
  <si>
    <t xml:space="preserve">Đào tạo từ xa/trực tuyến, ngôn ngữ, CNTT, điện tử</t>
  </si>
  <si>
    <t xml:space="preserve">C1=2: nhiều khả năng đã có LMS (giả định) | C2=3: khớp: điện–điện tử | C3=4: Đề án 2371 + chuẩn đầu ra tiếng Anh ĐH | C4=5: khối lượng học liệu rất lớn (đào tạo từ xa) | C5=5: rất lớn | C6=4: Công lập – Bộ GD&amp;ĐT | C7=3: Đề án 2371 | C8=1: chưa có quan hệ (tự cập nhật) | C9=4: Vùng 2 (ước lượng) | C10=5: hạ tầng CNTT mạnh | C11=4: uy tín trong khối ngành</t>
  </si>
  <si>
    <t xml:space="preserve">Mạnh đào tạo trực tuyến: vừa là khách hàng số hóa học liệu, vừa có thể là đối thủ/đối tác</t>
  </si>
  <si>
    <t xml:space="preserve">Trường ĐH Kinh tế – Kỹ thuật Công nghiệp (UNETI)</t>
  </si>
  <si>
    <t xml:space="preserve">Công lập – Bộ Công Thương</t>
  </si>
  <si>
    <t xml:space="preserve">Điện, điện tử, cơ khí, dệt may, thực phẩm</t>
  </si>
  <si>
    <t xml:space="preserve">C1=3: chưa rõ, giả định có LMS/Moodle cơ bản | C2=5: khớp: điện–điện tử, cơ khí/ô tô/thiết bị | C3=4: Đề án 2371 + chuẩn đầu ra tiếng Anh ĐH | C4=4: khối lượng giáo trình lớn | C5=5: rất lớn | C6=3: Công lập – Bộ Công Thương | C7=3: Đề án 2371 | C8=1: chưa có quan hệ (tự cập nhật) | C9=4: Vùng 2 (ước lượng) | C10=4: hạ tầng khá | C11=3: trường trung bình</t>
  </si>
  <si>
    <t xml:space="preserve">Học viện Nông nghiệp Việt Nam</t>
  </si>
  <si>
    <t xml:space="preserve">4</t>
  </si>
  <si>
    <t xml:space="preserve">Nông nghiệp, cơ điện, công nghệ sinh học, thú y</t>
  </si>
  <si>
    <t xml:space="preserve">C1=2: nhiều khả năng đã có LMS (giả định) | C2=5: khớp: điện–điện tử, lab khoa học | C3=4: Đề án 2371 + chuẩn đầu ra tiếng Anh ĐH | C4=4: khối lượng giáo trình lớn | C5=5: rất lớn | C6=4: Công lập – tự chủ | C7=3: Đề án 2371 | C8=1: chưa có quan hệ (tự cập nhật) | C9=2: Vùng 4 (ước lượng) | C10=5: hạ tầng CNTT mạnh | C11=4: uy tín trong khối ngành</t>
  </si>
  <si>
    <t xml:space="preserve">TT GDNN-GDTX khu vực Hà Đông – Chương Mỹ</t>
  </si>
  <si>
    <t xml:space="preserve">TT GDNN-GDTX</t>
  </si>
  <si>
    <t xml:space="preserve">Công lập – Sở GD&amp;ĐT Hà Nội</t>
  </si>
  <si>
    <t xml:space="preserve">GDTX cấp THPT (Lý, Hóa, Sinh, Tiếng Anh) + nghề ngắn hạn</t>
  </si>
  <si>
    <t xml:space="preserve">Hợp nhất từ nhiều TT (29→14)</t>
  </si>
  <si>
    <t xml:space="preserve">Đã xác minh danh sách khu vực sáp nhập (KH 292); tên mới chưa công bố</t>
  </si>
  <si>
    <t xml:space="preserve">C1=5: giả định chưa có LMS | C2=3: khớp: lab khoa học (chương trình GDTX THPT) | C3=3: tiếng Anh bắt buộc theo chương trình phổ thông | C4=5: hợp nhất học liệu các TT cũ | C5=3: trung bình | C6=2: Ngân sách qua Sở GD&amp;ĐT, quyết định chậm | C7=5: Hợp nhất từ nhiều TT (29→14) | C8=1: chưa có quan hệ (tự cập nhật) | C9=5: Vùng 1 (ước lượng) | C10=2: giả định sơ khai | C11=4: cùng chủ quản với 13 TT khác: thắng 1 dễ nhân rộng</t>
  </si>
  <si>
    <t xml:space="preserve">Cân nhắc tiếp cận cả cụm qua Sở GD&amp;ĐT thay vì từng TT</t>
  </si>
  <si>
    <t xml:space="preserve">TT GDNN-GDTX khu vực Hoàng Mai – Thanh Xuân</t>
  </si>
  <si>
    <t xml:space="preserve">Trường ĐH Giao thông vận tải</t>
  </si>
  <si>
    <t xml:space="preserve">Cơ khí, ô tô, điện – điện tử, xây dựng</t>
  </si>
  <si>
    <t xml:space="preserve">C1=2: nhiều khả năng đã có LMS (giả định) | C2=4: khớp: điện–điện tử, cơ khí/ô tô/thiết bị | C3=4: Đề án 2371 + chuẩn đầu ra tiếng Anh ĐH | C4=3: đã có một phần học liệu số | C5=5: rất lớn | C6=4: Công lập – tự chủ | C7=3: Đề án 2371 | C8=1: chưa có quan hệ (tự cập nhật) | C9=4: Vùng 2 (ước lượng) | C10=5: hạ tầng CNTT mạnh | C11=5: thương hiệu đầu ngành</t>
  </si>
  <si>
    <t xml:space="preserve">Trường ĐH Y Hà Nội</t>
  </si>
  <si>
    <t xml:space="preserve">Y khoa, điều dưỡng, xét nghiệm</t>
  </si>
  <si>
    <t xml:space="preserve">C1=2: nhiều khả năng đã có LMS (giả định) | C2=4: khớp: y tế, lab khoa học | C3=4: Đề án 2371 + chuẩn đầu ra tiếng Anh ĐH | C4=3: đã có một phần học liệu số | C5=5: rất lớn | C6=4: Công lập – Bộ Y tế | C7=3: Đề án 2371 | C8=1: chưa có quan hệ (tự cập nhật) | C9=4: Vùng 2 (ước lượng) | C10=5: hạ tầng CNTT mạnh | C11=5: thương hiệu đầu ngành</t>
  </si>
  <si>
    <t xml:space="preserve">Chu kỳ bán dài; ưu tiên khi đã có case trường y khác</t>
  </si>
  <si>
    <t xml:space="preserve">CĐ Y Hà Nội (HMC)</t>
  </si>
  <si>
    <t xml:space="preserve">Điều dưỡng, Chăm sóc sắc đẹp, Dược học</t>
  </si>
  <si>
    <t xml:space="preserve">Có LMS trực tuyến. Đào tạo các chứng chỉ ngắn hạn và môn khoa học cơ bản.</t>
  </si>
  <si>
    <t xml:space="preserve">Khá. Số hóa dữ liệu tuyển sinh và cổng quản lý quá trình thực tập của sinh viên.</t>
  </si>
  <si>
    <t xml:space="preserve">C1=4: LMS mức cơ bản | C2=4: khớp: y tế, lab khoa học | C3=4: điều dưỡng/y tế: nhu cầu tiếng Nhật/Đức/Anh để làm việc nước ngoài | C4=4: trường nghề nặng thực hành, học liệu chủ yếu giấy/PDF | C5=3: trung bình/chưa rõ | C6=5: Tư thục | C7=2: Không có sự kiện riêng; chỉ có động lực chính sách chung | C8=1: chưa có quan hệ (tự cập nhật) | C9=4: Vùng 2 | C10=4: số hóa quản lý khá | C11=3: trường trong mạng lưới</t>
  </si>
  <si>
    <t xml:space="preserve">cdyhn.edu.vn</t>
  </si>
  <si>
    <t xml:space="preserve">File gốc #19</t>
  </si>
  <si>
    <t xml:space="preserve">Trung cấp nghề Tổng hợp Hà Nội</t>
  </si>
  <si>
    <t xml:space="preserve">Trung cấp</t>
  </si>
  <si>
    <t xml:space="preserve">Nghề kỹ thuật (điện, cơ khí, ô tô…) – cần xác minh</t>
  </si>
  <si>
    <t xml:space="preserve">Lập đề án nâng cấp lên CĐ đa ngành (KH 292/KH-UBND)</t>
  </si>
  <si>
    <t xml:space="preserve">Đã xác minh trong KH 292; vị trí/ngành cần khảo sát</t>
  </si>
  <si>
    <t xml:space="preserve">C1=5: trường trung cấp, nhiều khả năng chưa có LMS | C2=4: khớp: điện–điện tử, cơ khí (giả định) | C3=3: chuẩn đầu ra chung | C4=5: nâng cấp lên cao đẳng: phải xây chương trình/học liệu mới | C5=3: trung bình | C6=2: Công lập – ngân sách TP | C7=5: Đang lập đề án nâng cấp thành cao đẳng đa ngành | C8=1: chưa có quan hệ (tự cập nhật) | C9=4: Vùng 2 (ước lượng) | C10=2: giả định sơ khai | C11=3: thuộc hệ thống trường của TP</t>
  </si>
  <si>
    <t xml:space="preserve">Trung cấp nghề Giao thông công chính Hà Nội</t>
  </si>
  <si>
    <t xml:space="preserve">Trường ĐH Thành Đô</t>
  </si>
  <si>
    <t xml:space="preserve">Dược, điều dưỡng, ô tô, điện, ngôn ngữ</t>
  </si>
  <si>
    <t xml:space="preserve">Cần khảo sát (chưa rõ, giả định LMS sơ khai)</t>
  </si>
  <si>
    <t xml:space="preserve">C1=4: chưa rõ, giả định LMS sơ khai | C2=5: khớp: điện–điện tử, cơ khí/ô tô/thiết bị, y tế, lab khoa học | C3=4: Đề án 2371 + chuẩn đầu ra tiếng Anh ĐH | C4=4: khối lượng giáo trình lớn | C5=3: trung bình | C6=5: Tư thục | C7=3: Đề án 2371 | C8=1: chưa có quan hệ (tự cập nhật) | C9=3: Vùng 3 (ước lượng) | C10=3: hạ tầng trung bình | C11=2: ít giá trị tham chiếu</t>
  </si>
  <si>
    <t xml:space="preserve">CĐ nghề Bách Khoa Hà Nội (HACTECH)</t>
  </si>
  <si>
    <t xml:space="preserve">Điện tử công nghiệp, Cơ điện tử, Vi điều khiển, Ô tô, CNTT</t>
  </si>
  <si>
    <t xml:space="preserve">Hệ thống quản trị hồ sơ bài bản: sinhvien.hactech.edu.vn. Quản lý tuyển sinh: hactech.edu.vn/tuyen-sinh.</t>
  </si>
  <si>
    <t xml:space="preserve">Đã số hóa hoàn chỉnh. Cơ sở dữ liệu học vụ, điểm số và hồ sơ sinh viên đồng bộ chặt chẽ.</t>
  </si>
  <si>
    <t xml:space="preserve">C1=3: có e-learning lý thuyết | C2=5: khớp: điện–điện tử, cơ khí/ô tô/thiết bị | C3=3: ngoại ngữ là chuẩn đầu ra chung | C4=4: trường nghề nặng thực hành, học liệu chủ yếu giấy/PDF | C5=4: lớn, nhiều ngành | C6=5: Tư thục | C7=2: Không có sự kiện riêng; chỉ có động lực chính sách chung | C8=1: chưa có quan hệ (tự cập nhật) | C9=3: Vùng 3 | C10=5: đã số hóa quản lý tốt | C11=3: trường trong mạng lưới</t>
  </si>
  <si>
    <t xml:space="preserve">hactech.edu.vn</t>
  </si>
  <si>
    <t xml:space="preserve">File gốc #28</t>
  </si>
  <si>
    <t xml:space="preserve">TT GDNN-GDTX khu vực Thanh Trì – Thanh Oai</t>
  </si>
  <si>
    <t xml:space="preserve">Hợp nhất từ nhiều TT (29→14); dự kiến chuyển thành trường trung học nghề</t>
  </si>
  <si>
    <t xml:space="preserve">C1=5: giả định chưa có LMS | C2=3: khớp: lab khoa học (chương trình GDTX THPT) | C3=3: tiếng Anh bắt buộc theo chương trình phổ thông | C4=5: hợp nhất học liệu các TT cũ | C5=3: trung bình | C6=2: Ngân sách qua Sở GD&amp;ĐT, quyết định chậm | C7=5: Hợp nhất từ nhiều TT (29→14); dự kiến chuyển thành trường trung học nghề | C8=1: chưa có quan hệ (tự cập nhật) | C9=4: Vùng 2 (ước lượng) | C10=2: giả định sơ khai | C11=4: cùng chủ quản với 13 TT khác: thắng 1 dễ nhân rộng</t>
  </si>
  <si>
    <t xml:space="preserve">TT GDNN-GDTX khu vực Ba Đình – Cầu Giấy – Nam Từ Liêm</t>
  </si>
  <si>
    <t xml:space="preserve">C1=5: giả định chưa có LMS | C2=3: khớp: lab khoa học (chương trình GDTX THPT) | C3=3: tiếng Anh bắt buộc theo chương trình phổ thông | C4=5: hợp nhất học liệu các TT cũ | C5=3: trung bình | C6=2: Ngân sách qua Sở GD&amp;ĐT, quyết định chậm | C7=5: Hợp nhất từ nhiều TT (29→14) | C8=1: chưa có quan hệ (tự cập nhật) | C9=4: Vùng 2 (ước lượng) | C10=2: giả định sơ khai | C11=4: cùng chủ quản với 13 TT khác: thắng 1 dễ nhân rộng</t>
  </si>
  <si>
    <t xml:space="preserve">TT GDNN-GDTX khu vực Hoàn Kiếm (Nguyễn Văn Tố) – Đống Đa – Hai Bà Trưng</t>
  </si>
  <si>
    <t xml:space="preserve">CĐ Kỹ thuật Trang thiết bị Y tế</t>
  </si>
  <si>
    <t xml:space="preserve">Điện tử y sinh, Mạch đo cảm biến, Bảo trì máy y tế</t>
  </si>
  <si>
    <t xml:space="preserve">Chưa có LMS thực hành sâu. Mới dùng cổng tin tức và lớp học trực tuyến tạm thời.</t>
  </si>
  <si>
    <t xml:space="preserve">Trung bình. Quản lý đào tạo theo quy chuẩn trực thuộc Bộ Y tế.</t>
  </si>
  <si>
    <t xml:space="preserve">C1=5: chưa có LMS (theo file) | C2=5: khớp: điện–điện tử, cơ khí/ô tô/thiết bị, y tế | C3=4: điều dưỡng/y tế: nhu cầu tiếng Nhật/Đức/Anh để làm việc nước ngoài | C4=4: trường nghề nặng thực hành, học liệu chủ yếu giấy/PDF | C5=3: trung bình/chưa rõ | C6=3: Công lập – Bộ Y tế | C7=2: Không có sự kiện riêng; chỉ có động lực chính sách chung | C8=1: chưa có quan hệ (tự cập nhật) | C9=3: Vùng 3 | C10=3: số hóa trung bình | C11=4: thuộc hệ thống trường của TP/bộ, dễ nhân rộng</t>
  </si>
  <si>
    <t xml:space="preserve">cde.edu.vn</t>
  </si>
  <si>
    <t xml:space="preserve">File gốc #26</t>
  </si>
  <si>
    <t xml:space="preserve">CĐ Quốc tế Hà Nội (HIC)</t>
  </si>
  <si>
    <t xml:space="preserve">Công nghệ Kỹ thuật Ô tô, Điện - Điện tử, Kỹ thuật Chế biến</t>
  </si>
  <si>
    <t xml:space="preserve">Có hệ thống E-learning cơ bản. Chủ yếu phục vụ thi trắc nghiệm học phần đại cương.</t>
  </si>
  <si>
    <t xml:space="preserve">Khá. Có phân hệ đăng ký học phần và tiếp nhận hồ sơ nhập học điện tử.</t>
  </si>
  <si>
    <t xml:space="preserve">Chưa xác minh địa chỉ</t>
  </si>
  <si>
    <t xml:space="preserve">C1=4: LMS mức cơ bản | C2=5: khớp: điện–điện tử, cơ khí/ô tô/thiết bị, lab khoa học | C3=3: ngoại ngữ là chuẩn đầu ra chung | C4=4: trường nghề nặng thực hành, học liệu chủ yếu giấy/PDF | C5=3: trung bình/chưa rõ | C6=5: Tư thục (cần xác minh) | C7=2: Không có sự kiện riêng; chỉ có động lực chính sách chung | C8=1: chưa có quan hệ (tự cập nhật) | C9=3: Vùng 3 | C10=4: số hóa quản lý khá | C11=3: trường trong mạng lưới</t>
  </si>
  <si>
    <t xml:space="preserve">caodangquoctehanoi.edu.vn</t>
  </si>
  <si>
    <t xml:space="preserve">File gốc #27</t>
  </si>
  <si>
    <t xml:space="preserve">Trường ĐH Hòa Bình</t>
  </si>
  <si>
    <t xml:space="preserve">Dược, điều dưỡng, CNTT, kiến trúc</t>
  </si>
  <si>
    <t xml:space="preserve">C1=4: chưa rõ, giả định LMS sơ khai | C2=4: khớp: y tế, lab khoa học | C3=4: Đề án 2371 + chuẩn đầu ra tiếng Anh ĐH | C4=4: khối lượng giáo trình lớn | C5=3: trung bình | C6=5: Tư thục | C7=3: Đề án 2371 | C8=1: chưa có quan hệ (tự cập nhật) | C9=4: Vùng 2 (ước lượng) | C10=3: hạ tầng trung bình | C11=2: ít giá trị tham chiếu</t>
  </si>
  <si>
    <t xml:space="preserve">CĐ Bách Khoa (HPC - CS Cầu Giấy/Mỹ Đình)</t>
  </si>
  <si>
    <t xml:space="preserve">Công nghệ Ô tô, Điện tử - Viễn thông, Cơ điện tử, CNTT</t>
  </si>
  <si>
    <t xml:space="preserve">Đã có hệ thống E-learning. Đang hỗ trợ đào tạo các lớp học kết hợp (Blended Learning).</t>
  </si>
  <si>
    <t xml:space="preserve">Số hóa tốt. Hệ thống tiếp nhận hồ sơ, tra cứu điểm và đóng học phí trực tuyến hoạt động mạnh.</t>
  </si>
  <si>
    <t xml:space="preserve">C1=3: có e-learning lý thuyết | C2=4: khớp: điện–điện tử, cơ khí/ô tô/thiết bị | C3=3: ngoại ngữ là chuẩn đầu ra chung | C4=4: trường nghề nặng thực hành, học liệu chủ yếu giấy/PDF | C5=4: lớn, nhiều ngành | C6=5: Tư thục | C7=2: Không có sự kiện riêng; chỉ có động lực chính sách chung | C8=1: chưa có quan hệ (tự cập nhật) | C9=4: Vùng 2 | C10=5: đã số hóa quản lý tốt | C11=3: trường trong mạng lưới</t>
  </si>
  <si>
    <t xml:space="preserve">bachkhoahanoi.edu.vn</t>
  </si>
  <si>
    <t xml:space="preserve">File gốc #25</t>
  </si>
  <si>
    <t xml:space="preserve">Trường ĐH Thủ đô Hà Nội</t>
  </si>
  <si>
    <t xml:space="preserve">Sư phạm, ngôn ngữ, công nghệ, khoa học</t>
  </si>
  <si>
    <t xml:space="preserve">Giữ nguyên đầu mối, định hướng mô hình ĐH ứng dụng (KH 292); BGH bố trí lại 6/10/2026</t>
  </si>
  <si>
    <t xml:space="preserve">C1=3: chưa rõ, giả định có LMS/Moodle cơ bản | C2=3: khớp: lab khoa học | C3=4: Đề án 2371 + chuẩn đầu ra tiếng Anh ĐH | C4=4: khối lượng giáo trình lớn | C5=4: lớn | C6=3: Công lập – TP Hà Nội | C7=4: Giữ nguyên đầu mối, định hướng mô hình ĐH ứng dụng (KH 292); BGH bố trí lại 6/10/2026 | C8=1: chưa có quan hệ (tự cập nhật) | C9=4: Vùng 2 (ước lượng) | C10=4: hạ tầng khá | C11=4: uy tín trong khối ngành</t>
  </si>
  <si>
    <t xml:space="preserve">Hiệu trưởng: Đỗ Hồng Cường (TB 750-TB/TU)</t>
  </si>
  <si>
    <t xml:space="preserve">Trường ĐH Sư phạm Hà Nội</t>
  </si>
  <si>
    <t xml:space="preserve">Sư phạm, khoa học tự nhiên, ngôn ngữ</t>
  </si>
  <si>
    <t xml:space="preserve">Đề án 2371 (đào tạo giáo viên dạy bằng tiếng Anh)</t>
  </si>
  <si>
    <t xml:space="preserve">C1=2: nhiều khả năng đã có LMS (giả định) | C2=3: khớp: lab khoa học | C3=4: Đề án 2371 + chuẩn đầu ra tiếng Anh ĐH | C4=4: khối lượng giáo trình lớn | C5=5: rất lớn | C6=3: Công lập – Bộ GD&amp;ĐT | C7=3: Đề án 2371 (đào tạo giáo viên dạy bằng tiếng Anh) | C8=1: chưa có quan hệ (tự cập nhật) | C9=4: Vùng 2 (ước lượng) | C10=5: hạ tầng CNTT mạnh | C11=5: thương hiệu đầu ngành</t>
  </si>
  <si>
    <t xml:space="preserve">CĐ Đại Việt Hà Nội</t>
  </si>
  <si>
    <t xml:space="preserve">Công nghệ Ô tô, Điện tử viễn thông, Cơ điện tử, CNTT</t>
  </si>
  <si>
    <t xml:space="preserve">Có LMS cơ bản. Triển khai giảng dạy trực tuyến hỗ trợ các môn học lý thuyết.</t>
  </si>
  <si>
    <t xml:space="preserve">Khá. Có cổng thông tin tra cứu điểm và nộp học phí trực tuyến.</t>
  </si>
  <si>
    <t xml:space="preserve">C1=4: LMS mức cơ bản | C2=4: khớp: điện–điện tử, cơ khí/ô tô/thiết bị | C3=3: ngoại ngữ là chuẩn đầu ra chung | C4=4: trường nghề nặng thực hành, học liệu chủ yếu giấy/PDF | C5=3: trung bình/chưa rõ | C6=5: Tư thục | C7=2: Không có sự kiện riêng; chỉ có động lực chính sách chung | C8=1: chưa có quan hệ (tự cập nhật) | C9=4: Vùng 2 | C10=4: số hóa quản lý khá | C11=3: trường trong mạng lưới</t>
  </si>
  <si>
    <t xml:space="preserve">daiviet.edu.vn</t>
  </si>
  <si>
    <t xml:space="preserve">File gốc #12</t>
  </si>
  <si>
    <t xml:space="preserve">Học viện Y Dược học cổ truyền Việt Nam</t>
  </si>
  <si>
    <t xml:space="preserve">Y học cổ truyền, dược, điều dưỡng</t>
  </si>
  <si>
    <t xml:space="preserve">C1=3: chưa rõ, giả định có LMS/Moodle cơ bản | C2=4: khớp: y tế, lab khoa học | C3=4: Đề án 2371 + chuẩn đầu ra tiếng Anh ĐH | C4=4: khối lượng giáo trình lớn | C5=4: lớn | C6=3: Công lập – Bộ Y tế | C7=3: Đề án 2371 | C8=1: chưa có quan hệ (tự cập nhật) | C9=5: Vùng 1 (ước lượng) | C10=4: hạ tầng khá | C11=3: trường trung bình</t>
  </si>
  <si>
    <t xml:space="preserve">Trường ĐH Công nghệ Giao thông vận tải (UTT)</t>
  </si>
  <si>
    <t xml:space="preserve">Công lập – Bộ Xây dựng</t>
  </si>
  <si>
    <t xml:space="preserve">Ô tô, cơ khí, điện – điện tử, xây dựng</t>
  </si>
  <si>
    <t xml:space="preserve">C1=3: chưa rõ, giả định có LMS/Moodle cơ bản | C2=4: khớp: điện–điện tử, cơ khí/ô tô/thiết bị | C3=4: Đề án 2371 + chuẩn đầu ra tiếng Anh ĐH | C4=4: khối lượng giáo trình lớn | C5=4: lớn | C6=3: Công lập – Bộ Xây dựng | C7=3: Đề án 2371 | C8=1: chưa có quan hệ (tự cập nhật) | C9=5: Vùng 1 (ước lượng) | C10=4: hạ tầng khá | C11=3: trường trung bình</t>
  </si>
  <si>
    <t xml:space="preserve">TT GDNN-GDTX khu vực Hoài Đức – Đan Phượng</t>
  </si>
  <si>
    <t xml:space="preserve">C1=5: giả định chưa có LMS | C2=3: khớp: lab khoa học (chương trình GDTX THPT) | C3=3: tiếng Anh bắt buộc theo chương trình phổ thông | C4=5: hợp nhất học liệu các TT cũ | C5=3: trung bình | C6=2: Ngân sách qua Sở GD&amp;ĐT, quyết định chậm | C7=5: Hợp nhất từ nhiều TT (29→14) | C8=1: chưa có quan hệ (tự cập nhật) | C9=3: Vùng 3 (ước lượng) | C10=2: giả định sơ khai | C11=4: cùng chủ quản với 13 TT khác: thắng 1 dễ nhân rộng</t>
  </si>
  <si>
    <t xml:space="preserve">TT GDNN-GDTX khu vực Phú Xuyên – Thường Tín</t>
  </si>
  <si>
    <t xml:space="preserve">C1=5: giả định chưa có LMS | C2=3: khớp: lab khoa học (chương trình GDTX THPT) | C3=3: tiếng Anh bắt buộc theo chương trình phổ thông | C4=5: hợp nhất học liệu các TT cũ | C5=3: trung bình | C6=2: Ngân sách qua Sở GD&amp;ĐT, quyết định chậm | C7=5: Hợp nhất từ nhiều TT (29→14); dự kiến chuyển thành trường trung học nghề | C8=1: chưa có quan hệ (tự cập nhật) | C9=3: Vùng 3 (ước lượng) | C10=2: giả định sơ khai | C11=4: cùng chủ quản với 13 TT khác: thắng 1 dễ nhân rộng</t>
  </si>
  <si>
    <t xml:space="preserve">TT GDNN-GDTX khu vực Gia Lâm – Long Biên</t>
  </si>
  <si>
    <t xml:space="preserve">TT GDNN-GDTX khu vực Đông Anh – Tây Hồ</t>
  </si>
  <si>
    <t xml:space="preserve">Trường ĐH Mỏ – Địa chất</t>
  </si>
  <si>
    <t xml:space="preserve">Công lập</t>
  </si>
  <si>
    <t xml:space="preserve">Mỏ, địa chất, cơ điện, trắc địa, môi trường</t>
  </si>
  <si>
    <t xml:space="preserve">C1=3: chưa rõ, giả định có LMS/Moodle cơ bản | C2=5: khớp: điện–điện tử, cơ khí/ô tô/thiết bị, lab khoa học | C3=4: Đề án 2371 + chuẩn đầu ra tiếng Anh ĐH | C4=4: khối lượng giáo trình lớn | C5=4: lớn | C6=3: Công lập | C7=3: Đề án 2371 | C8=1: chưa có quan hệ (tự cập nhật) | C9=3: Vùng 3 (ước lượng) | C10=4: hạ tầng khá | C11=3: trường trung bình</t>
  </si>
  <si>
    <t xml:space="preserve">CĐ Y tế Bạch Mai</t>
  </si>
  <si>
    <t xml:space="preserve">Điều dưỡng lâm sàng, Kỹ thuật hình ảnh y học, Kỹ thuật xét nghiệm</t>
  </si>
  <si>
    <t xml:space="preserve">Đã có hệ thống đào tạo liên tục (CME). Cổng E-learning tổ chức cập nhật kiến thức y khoa.</t>
  </si>
  <si>
    <t xml:space="preserve">Đã số hóa. Tích hợp cơ sở dữ liệu bệnh viện và quản lý sinh viên thực hành lâm sàng.</t>
  </si>
  <si>
    <t xml:space="preserve">C1=3: có e-learning lý thuyết | C2=4: khớp: y tế, lab khoa học | C3=4: điều dưỡng/y tế: nhu cầu tiếng Nhật/Đức/Anh để làm việc nước ngoài | C4=4: trường nghề nặng thực hành, học liệu chủ yếu giấy/PDF | C5=3: trung bình/chưa rõ | C6=3: Công lập – Bộ Y tế | C7=2: Không có sự kiện riêng; chỉ có động lực chính sách chung | C8=1: chưa có quan hệ (tự cập nhật) | C9=4: Vùng 2 | C10=5: đã số hóa quản lý tốt | C11=5: đầu tàu ngành</t>
  </si>
  <si>
    <t xml:space="preserve">bmsmc.edu.vn</t>
  </si>
  <si>
    <t xml:space="preserve">File gốc #21</t>
  </si>
  <si>
    <t xml:space="preserve">Trường ĐH Điện lực</t>
  </si>
  <si>
    <t xml:space="preserve">Điện, điện tử, tự động hóa, năng lượng</t>
  </si>
  <si>
    <t xml:space="preserve">C1=3: chưa rõ, giả định có LMS/Moodle cơ bản | C2=4: khớp: điện–điện tử, lab khoa học | C3=4: Đề án 2371 + chuẩn đầu ra tiếng Anh ĐH | C4=4: khối lượng giáo trình lớn | C5=4: lớn | C6=3: Công lập – Bộ Công Thương | C7=3: Đề án 2371 | C8=1: chưa có quan hệ (tự cập nhật) | C9=3: Vùng 3 (ước lượng) | C10=4: hạ tầng khá | C11=4: uy tín trong khối ngành</t>
  </si>
  <si>
    <t xml:space="preserve">TT GDNN-GDTX khu vực Thạch Thất – Quốc Oai</t>
  </si>
  <si>
    <t xml:space="preserve">C1=5: giả định chưa có LMS | C2=3: khớp: lab khoa học (chương trình GDTX THPT) | C3=3: tiếng Anh bắt buộc theo chương trình phổ thông | C4=5: hợp nhất học liệu các TT cũ | C5=3: trung bình | C6=2: Ngân sách qua Sở GD&amp;ĐT, quyết định chậm | C7=5: Hợp nhất từ nhiều TT (29→14) | C8=1: chưa có quan hệ (tự cập nhật) | C9=2: Vùng 4 (ước lượng) | C10=2: giả định sơ khai | C11=4: cùng chủ quản với 13 TT khác: thắng 1 dễ nhân rộng</t>
  </si>
  <si>
    <t xml:space="preserve">TT GDNN-GDTX khu vực Ứng Hòa – Mỹ Đức</t>
  </si>
  <si>
    <t xml:space="preserve">C1=5: giả định chưa có LMS | C2=3: khớp: lab khoa học (chương trình GDTX THPT) | C3=3: tiếng Anh bắt buộc theo chương trình phổ thông | C4=5: hợp nhất học liệu các TT cũ | C5=3: trung bình | C6=2: Ngân sách qua Sở GD&amp;ĐT, quyết định chậm | C7=5: Hợp nhất từ nhiều TT (29→14); dự kiến chuyển thành trường trung học nghề | C8=1: chưa có quan hệ (tự cập nhật) | C9=2: Vùng 4 (ước lượng) | C10=2: giả định sơ khai | C11=4: cùng chủ quản với 13 TT khác: thắng 1 dễ nhân rộng</t>
  </si>
  <si>
    <t xml:space="preserve">TT GDNN-GDTX khu vực Sơn Tây – Phúc Thọ</t>
  </si>
  <si>
    <t xml:space="preserve">TT GDNN-GDTX khu vực Mê Linh – Sóc Sơn</t>
  </si>
  <si>
    <t xml:space="preserve">CĐ Công nghệ cao Hà Nội (CS1 Tây Mỗ + CS2 Thanh Xuân)</t>
  </si>
  <si>
    <t xml:space="preserve">Điện tử, Vi mạch bán dẫn, Cơ điện tử, Tự động hóa, Ô tô</t>
  </si>
  <si>
    <t xml:space="preserve">LMS hoàn chỉnh: sinhvien.hht.edu.vn. Thư viện điện tử: hht.edu.vn/thu-vien-dien-tu.</t>
  </si>
  <si>
    <t xml:space="preserve">Đầu tàu số hóa GDNN. Quản trị thông minh, số hóa quy trình chấm điểm và thi tay nghề.</t>
  </si>
  <si>
    <t xml:space="preserve">Giữ nguyên, đang tái cấu trúc; BGH bố trí lại 6/10/2026</t>
  </si>
  <si>
    <t xml:space="preserve">Đã xác minh giữ nguyên; gộp 2 dòng #9 và #16 của file</t>
  </si>
  <si>
    <t xml:space="preserve">C1=2: đã có LMS đầy đủ | C2=5: khớp: điện–điện tử, cơ khí/ô tô/thiết bị, lab khoa học | C3=3: ngoại ngữ là chuẩn đầu ra chung | C4=2: đã có thư viện số/học liệu số tốt | C5=4: lớn, nhiều ngành | C6=3: Công lập – TP Hà Nội | C7=3: Giữ nguyên, đang tái cấu trúc; BGH bố trí lại 6/10/2026 | C8=1: chưa có quan hệ (tự cập nhật) | C9=5: Vùng 1 | C10=5: đã số hóa quản lý tốt | C11=5: đầu tàu ngành</t>
  </si>
  <si>
    <t xml:space="preserve">Hiệu trưởng: Phạm Xuân Khánh (TB 750-TB/TU)</t>
  </si>
  <si>
    <t xml:space="preserve">hht.edu.vn</t>
  </si>
  <si>
    <t xml:space="preserve">File gốc #16 + #9</t>
  </si>
  <si>
    <t xml:space="preserve">Trường ĐH Kiến trúc Hà Nội</t>
  </si>
  <si>
    <t xml:space="preserve">Kiến trúc, xây dựng, cấp thoát nước, đồ họa 3D</t>
  </si>
  <si>
    <t xml:space="preserve">C1=3: chưa rõ, giả định có LMS/Moodle cơ bản | C2=3: khớp: cơ khí/ô tô/thiết bị | C3=4: Đề án 2371 + chuẩn đầu ra tiếng Anh ĐH | C4=4: khối lượng giáo trình lớn | C5=4: lớn | C6=3: Công lập | C7=3: Đề án 2371 | C8=1: chưa có quan hệ (tự cập nhật) | C9=5: Vùng 1 (ước lượng) | C10=4: hạ tầng khá | C11=3: trường trung bình</t>
  </si>
  <si>
    <t xml:space="preserve">CĐ Cộng đồng Hà Tây (HTCC)</t>
  </si>
  <si>
    <t xml:space="preserve">Kỹ thuật Điện công nghiệp, Máy lạnh &amp; ĐHKK, Tin học</t>
  </si>
  <si>
    <t xml:space="preserve">Chưa có LMS hiện đại. Website chính htcc.edu.vn đang phục vụ thông báo chung.</t>
  </si>
  <si>
    <t xml:space="preserve">Cơ bản. Đang trong quá trình tái cấu trúc và số hóa quy trình quản lý học vụ.</t>
  </si>
  <si>
    <t xml:space="preserve">Đã xác minh giữ nguyên</t>
  </si>
  <si>
    <t xml:space="preserve">C1=5: chưa có LMS (theo file) | C2=3: khớp: điện–điện tử | C3=3: ngoại ngữ là chuẩn đầu ra chung | C4=4: trường nghề nặng thực hành, học liệu chủ yếu giấy/PDF | C5=3: trung bình/chưa rõ | C6=3: Công lập – TP Hà Nội | C7=4: Giữ nguyên, đang tái cấu trúc; BGH bố trí lại 6/10/2026 | C8=1: chưa có quan hệ (tự cập nhật) | C9=3: Vùng 3 | C10=2: số hóa quản lý cơ bản | C11=4: thuộc hệ thống trường của TP/bộ, dễ nhân rộng</t>
  </si>
  <si>
    <t xml:space="preserve">Hiệu trưởng: Hoàng Đức Huế (TB 750-TB/TU)</t>
  </si>
  <si>
    <t xml:space="preserve">htcc.edu.vn</t>
  </si>
  <si>
    <t xml:space="preserve">File gốc #38</t>
  </si>
  <si>
    <t xml:space="preserve">CĐ Xây dựng số 1 (CTC1)</t>
  </si>
  <si>
    <t xml:space="preserve">Cấp thoát nước, Điện kỹ thuật công trình, Trắc địa, Kiến trúc</t>
  </si>
  <si>
    <t xml:space="preserve">Có E-learning cơ bản. Tổ chức học tài liệu qua cổng thông tin môn học.</t>
  </si>
  <si>
    <t xml:space="preserve">Khá. Có phân hệ quản lý điểm, lịch học tín chỉ cho sinh viên xây dựng.</t>
  </si>
  <si>
    <t xml:space="preserve">C1=4: LMS mức cơ bản | C2=4: khớp: điện–điện tử, cơ khí/ô tô/thiết bị | C3=3: ngoại ngữ là chuẩn đầu ra chung | C4=4: trường nghề nặng thực hành, học liệu chủ yếu giấy/PDF | C5=3: trung bình/chưa rõ | C6=3: Công lập – Bộ Xây dựng | C7=2: Không có sự kiện riêng; chỉ có động lực chính sách chung | C8=1: chưa có quan hệ (tự cập nhật) | C9=5: Vùng 1 | C10=4: số hóa quản lý khá | C11=3: trường trong mạng lưới</t>
  </si>
  <si>
    <t xml:space="preserve">ctc1.edu.vn</t>
  </si>
  <si>
    <t xml:space="preserve">File gốc #5</t>
  </si>
  <si>
    <t xml:space="preserve">CĐ Kinh tế Kỹ thuật và Công nghệ (ECOTEX)</t>
  </si>
  <si>
    <t xml:space="preserve">Chưa rõ</t>
  </si>
  <si>
    <t xml:space="preserve">Điện tử công nghiệp, Cơ điện tử, Công nghệ Ô tô, CNTT</t>
  </si>
  <si>
    <t xml:space="preserve">Chưa có LMS. Mới vận hành website tin tức và trang tin tuyển sinh.</t>
  </si>
  <si>
    <t xml:space="preserve">Sơ khai. Quản lý dữ liệu học vụ rời rạc trên bảng tính và phần mềm kế toán độc lập.</t>
  </si>
  <si>
    <t xml:space="preserve">Chưa xác minh tên/chủ quản</t>
  </si>
  <si>
    <t xml:space="preserve">C1=5: chưa có LMS (theo file) | C2=4: khớp: điện–điện tử, cơ khí/ô tô/thiết bị | C3=3: ngoại ngữ là chuẩn đầu ra chung | C4=4: trường nghề nặng thực hành, học liệu chủ yếu giấy/PDF | C5=3: trung bình/chưa rõ | C6=3: Chưa rõ | C7=2: Không có sự kiện riêng; chỉ có động lực chính sách chung | C8=1: chưa có quan hệ (tự cập nhật) | C9=5: Vùng 1 | C10=2: quản lý sơ khai | C11=3: trường trong mạng lưới</t>
  </si>
  <si>
    <t xml:space="preserve">ecotex.edu.vn</t>
  </si>
  <si>
    <t xml:space="preserve">File gốc #3</t>
  </si>
  <si>
    <t xml:space="preserve">TT GDNN-GDTX khu vực Ba Vì</t>
  </si>
  <si>
    <t xml:space="preserve">Giữ nguyên; dự kiến chuyển thành trường trung học nghề</t>
  </si>
  <si>
    <t xml:space="preserve">C1=5: giả định chưa có LMS | C2=3: khớp: lab khoa học (chương trình GDTX THPT) | C3=3: tiếng Anh bắt buộc theo chương trình phổ thông | C4=4: học liệu chủ yếu giấy | C5=3: trung bình | C6=2: Ngân sách qua Sở GD&amp;ĐT, quyết định chậm | C7=5: Giữ nguyên; dự kiến chuyển thành trường trung học nghề | C8=1: chưa có quan hệ (tự cập nhật) | C9=2: Vùng 4 (ước lượng) | C10=2: giả định sơ khai | C11=4: cùng chủ quản với 13 TT khác: thắng 1 dễ nhân rộng</t>
  </si>
  <si>
    <t xml:space="preserve">CĐ Bách nghệ Hà Nội</t>
  </si>
  <si>
    <t xml:space="preserve">Công nghệ Ô tô, Kỹ thuật máy lạnh &amp; ĐHKK, CNTT</t>
  </si>
  <si>
    <t xml:space="preserve">LMS mức trung bình. Sử dụng Moodle cơ bản để kiểm tra định kỳ.</t>
  </si>
  <si>
    <t xml:space="preserve">Trung bình. Quản lý đào tạo theo niên chế/tín chỉ thông qua phần mềm cục bộ.</t>
  </si>
  <si>
    <t xml:space="preserve">Khoảng cách trong file có thể sai (Phạm Văn Đồng &gt;10 km)</t>
  </si>
  <si>
    <t xml:space="preserve">C1=3: đang dùng Moodle | C2=4: khớp: điện–điện tử, cơ khí/ô tô/thiết bị | C3=3: ngoại ngữ là chuẩn đầu ra chung | C4=4: trường nghề nặng thực hành, học liệu chủ yếu giấy/PDF | C5=3: trung bình/chưa rõ | C6=5: Tư thục | C7=2: Không có sự kiện riêng; chỉ có động lực chính sách chung | C8=1: chưa có quan hệ (tự cập nhật) | C9=4: Vùng 2 | C10=3: số hóa trung bình | C11=3: trường trong mạng lưới</t>
  </si>
  <si>
    <t xml:space="preserve">hbc.edu.vn</t>
  </si>
  <si>
    <t xml:space="preserve">File gốc #13</t>
  </si>
  <si>
    <t xml:space="preserve">Trường ĐH CMC</t>
  </si>
  <si>
    <t xml:space="preserve">CNTT, vi mạch, ngôn ngữ</t>
  </si>
  <si>
    <t xml:space="preserve">C1=2: nhiều khả năng đã có LMS (giả định) | C2=3: khớp: điện–điện tử | C3=4: Đề án 2371 + chuẩn đầu ra tiếng Anh ĐH | C4=3: đã có một phần học liệu số | C5=3: trung bình | C6=5: Tư thục | C7=3: Đề án 2371 | C8=1: chưa có quan hệ (tự cập nhật) | C9=4: Vùng 2 (ước lượng) | C10=5: hạ tầng CNTT mạnh | C11=3: trường trung bình</t>
  </si>
  <si>
    <t xml:space="preserve">Trường ĐH Tài nguyên và Môi trường Hà Nội</t>
  </si>
  <si>
    <t xml:space="preserve">Môi trường, trắc địa, CNTT</t>
  </si>
  <si>
    <t xml:space="preserve">C1=3: chưa rõ, giả định có LMS/Moodle cơ bản | C2=3: khớp: cơ khí/ô tô/thiết bị, lab khoa học | C3=4: Đề án 2371 + chuẩn đầu ra tiếng Anh ĐH | C4=4: khối lượng giáo trình lớn | C5=4: lớn | C6=3: Công lập – Bộ NN&amp;MT | C7=3: Đề án 2371 | C8=1: chưa có quan hệ (tự cập nhật) | C9=3: Vùng 3 (ước lượng) | C10=4: hạ tầng khá | C11=3: trường trung bình</t>
  </si>
  <si>
    <t xml:space="preserve">CĐ Công thương Hà Nội (HCIT)</t>
  </si>
  <si>
    <t xml:space="preserve">Điện tử, Điện công nghiệp, Cơ điện tử, Công nghệ Ô tô, CNTT</t>
  </si>
  <si>
    <t xml:space="preserve">Đã có LMS từ xa: elearning.hcit.edu.vn. Tuyển sinh tại dangky.congthuonghn.edu.vn.</t>
  </si>
  <si>
    <t xml:space="preserve">Đã số hóa. Hệ thống thi trực tuyến và quản trị dữ liệu sinh viên từ xa vận hành liên tục.</t>
  </si>
  <si>
    <t xml:space="preserve">Chưa xác minh chủ quản</t>
  </si>
  <si>
    <t xml:space="preserve">C1=3: có e-learning lý thuyết | C2=4: khớp: điện–điện tử, cơ khí/ô tô/thiết bị | C3=3: ngoại ngữ là chuẩn đầu ra chung | C4=4: trường nghề nặng thực hành, học liệu chủ yếu giấy/PDF | C5=3: trung bình/chưa rõ | C6=3: Chưa rõ | C7=2: Không có sự kiện riêng; chỉ có động lực chính sách chung | C8=1: chưa có quan hệ (tự cập nhật) | C9=4: Vùng 2 | C10=5: đã số hóa quản lý tốt | C11=3: trường trong mạng lưới</t>
  </si>
  <si>
    <t xml:space="preserve">hcit.edu.vn</t>
  </si>
  <si>
    <t xml:space="preserve">File gốc #11</t>
  </si>
  <si>
    <t xml:space="preserve">CĐ Công nghệ Hà Nội (Hitech)</t>
  </si>
  <si>
    <t xml:space="preserve">Kỹ thuật Cơ điện tử, Kỹ thuật Điện tử, Ô tô, Thiết kế đồ họa</t>
  </si>
  <si>
    <t xml:space="preserve">Có E-learning hỗ trợ. Dùng hệ thống học tập để phân phối giáo trình số.</t>
  </si>
  <si>
    <t xml:space="preserve">Trung bình - Khá. Đang triển khai nâng cấp phần mềm quản lý học viên và điểm danh.</t>
  </si>
  <si>
    <t xml:space="preserve">C1=3: có e-learning lý thuyết | C2=4: khớp: điện–điện tử, cơ khí/ô tô/thiết bị | C3=3: ngoại ngữ là chuẩn đầu ra chung | C4=4: trường nghề nặng thực hành, học liệu chủ yếu giấy/PDF | C5=3: trung bình/chưa rõ | C6=5: Tư thục | C7=2: Không có sự kiện riêng; chỉ có động lực chính sách chung | C8=1: chưa có quan hệ (tự cập nhật) | C9=3: Vùng 3 | C10=3: số hóa trung bình–khá | C11=3: trường trong mạng lưới</t>
  </si>
  <si>
    <t xml:space="preserve">hitech.edu.vn</t>
  </si>
  <si>
    <t xml:space="preserve">File gốc #30</t>
  </si>
  <si>
    <t xml:space="preserve">CĐ Công nghiệp In</t>
  </si>
  <si>
    <t xml:space="preserve">Công lập – bộ ngành</t>
  </si>
  <si>
    <t xml:space="preserve">Cơ khí chế tạo máy in, Kỹ thuật Điện - Điện tử, Đồ họa 3D</t>
  </si>
  <si>
    <t xml:space="preserve">Có LMS cơ bản. Duy trì hệ thống bài giảng điện tử cho sinh viên ngành in và đồ họa.</t>
  </si>
  <si>
    <t xml:space="preserve">Khá. Có cổng sinh viên tra cứu lịch thi, thời khóa biểu và điểm số.</t>
  </si>
  <si>
    <t xml:space="preserve">C1=4: LMS mức cơ bản | C2=4: khớp: điện–điện tử, cơ khí/ô tô/thiết bị | C3=3: ngoại ngữ là chuẩn đầu ra chung | C4=4: trường nghề nặng thực hành, học liệu chủ yếu giấy/PDF | C5=3: trung bình/chưa rõ | C6=3: Công lập – bộ ngành | C7=2: Không có sự kiện riêng; chỉ có động lực chính sách chung | C8=1: chưa có quan hệ (tự cập nhật) | C9=3: Vùng 3 | C10=4: số hóa quản lý khá | C11=3: trường trong mạng lưới</t>
  </si>
  <si>
    <t xml:space="preserve">cdin.edu.vn</t>
  </si>
  <si>
    <t xml:space="preserve">File gốc #29</t>
  </si>
  <si>
    <t xml:space="preserve">CĐ Nông nghiệp Hà Nội (HAC)</t>
  </si>
  <si>
    <t xml:space="preserve">Công nghệ IoT nông nghiệp, Kỹ thuật điện, Chăn nuôi thú y</t>
  </si>
  <si>
    <t xml:space="preserve">Chưa có LMS thực hành. Website đăng tải tài liệu học tập PDF tĩnh.</t>
  </si>
  <si>
    <t xml:space="preserve">Trung bình. Quản lý tuyển sinh và học phí qua tài khoản ngân hàng và phần mềm văn phòng.</t>
  </si>
  <si>
    <t xml:space="preserve">C1=5: chưa có LMS (theo file) | C2=4: khớp: điện–điện tử, lab khoa học | C3=3: ngoại ngữ là chuẩn đầu ra chung | C4=4: trường nghề nặng thực hành, học liệu chủ yếu giấy/PDF | C5=3: trung bình/chưa rõ | C6=3: Chưa rõ | C7=2: Không có sự kiện riêng; chỉ có động lực chính sách chung | C8=1: chưa có quan hệ (tự cập nhật) | C9=2: Vùng 4 | C10=3: số hóa trung bình | C11=3: trường trong mạng lưới</t>
  </si>
  <si>
    <t xml:space="preserve">hac.edu.vn</t>
  </si>
  <si>
    <t xml:space="preserve">File gốc #46</t>
  </si>
  <si>
    <t xml:space="preserve">Trường ĐH Y tế Công cộng</t>
  </si>
  <si>
    <t xml:space="preserve">Y tế công cộng, xét nghiệm, dinh dưỡng</t>
  </si>
  <si>
    <t xml:space="preserve">C1=3: chưa rõ, giả định có LMS/Moodle cơ bản | C2=4: khớp: y tế, lab khoa học | C3=4: Đề án 2371 + chuẩn đầu ra tiếng Anh ĐH | C4=4: khối lượng giáo trình lớn | C5=2: nhỏ | C6=3: Công lập – Bộ Y tế | C7=3: Đề án 2371 | C8=1: chưa có quan hệ (tự cập nhật) | C9=3: Vùng 3 (ước lượng) | C10=4: hạ tầng khá | C11=3: trường trung bình</t>
  </si>
  <si>
    <t xml:space="preserve">CĐ Cơ điện Hà Tây (HACTEC - Xuân Mai)</t>
  </si>
  <si>
    <t xml:space="preserve">Cơ điện tử, Điện công nghiệp, Cắt gọt kim loại, Ô tô</t>
  </si>
  <si>
    <t xml:space="preserve">Chưa có LMS thực hành sâu. Mới sử dụng phần mềm quản lý học liệu và thi trắc nghiệm.</t>
  </si>
  <si>
    <t xml:space="preserve">Trung bình. Đang số hóa cơ sở dữ liệu quản trị học sinh - sinh viên học nghề.</t>
  </si>
  <si>
    <t xml:space="preserve">KHÔNG XÁC MINH ĐƯỢC tên trường; kiểm tra lại</t>
  </si>
  <si>
    <t xml:space="preserve">C1=4: chỉ có phần mềm học liệu/thi trắc nghiệm | C2=5: khớp: điện–điện tử, cơ khí/ô tô/thiết bị | C3=3: ngoại ngữ là chuẩn đầu ra chung | C4=4: trường nghề nặng thực hành, học liệu chủ yếu giấy/PDF | C5=3: trung bình/chưa rõ | C6=3: Chưa rõ | C7=2: Không có sự kiện riêng; chỉ có động lực chính sách chung | C8=1: chưa có quan hệ (tự cập nhật) | C9=2: Vùng 4 | C10=3: số hóa trung bình | C11=3: trường trong mạng lưới</t>
  </si>
  <si>
    <t xml:space="preserve">codienhatay.edu.vn</t>
  </si>
  <si>
    <t xml:space="preserve">File gốc #42</t>
  </si>
  <si>
    <t xml:space="preserve">CĐ Kinh tế - Kỹ thuật Thương mại (CTET)</t>
  </si>
  <si>
    <t xml:space="preserve">CNTT (Ứng dụng phần mềm), Kỹ thuật xăng dầu, Thương mại</t>
  </si>
  <si>
    <t xml:space="preserve">Chưa có LMS. Chưa có phân hệ đào tạo trực tuyến riêng biệt.</t>
  </si>
  <si>
    <t xml:space="preserve">Cơ bản. Tuyển sinh còn nhận qua Google Forms xét tuyển.</t>
  </si>
  <si>
    <t xml:space="preserve">C1=5: chưa có LMS (theo file) | C2=1: không khớp nhóm nào | C3=5: ngành du lịch/thương mại/liên kết Hàn: ngoại ngữ là năng lực nghề | C4=4: trường nghề nặng thực hành, học liệu chủ yếu giấy/PDF | C5=3: trung bình/chưa rõ | C6=3: Công lập – Bộ Công Thương | C7=2: Không có sự kiện riêng; chỉ có động lực chính sách chung | C8=1: chưa có quan hệ (tự cập nhật) | C9=5: Vùng 1 | C10=2: số hóa quản lý cơ bản | C11=3: trường trong mạng lưới</t>
  </si>
  <si>
    <t xml:space="preserve">ctet.edu.vn</t>
  </si>
  <si>
    <t xml:space="preserve">File gốc #4</t>
  </si>
  <si>
    <t xml:space="preserve">CĐ Du lịch Hà Nội (HTC)</t>
  </si>
  <si>
    <t xml:space="preserve">Công lập – Bộ VHTTDL</t>
  </si>
  <si>
    <t xml:space="preserve">Quản trị khách sạn, Chế biến món ăn, Kỹ thuật dịch vụ</t>
  </si>
  <si>
    <t xml:space="preserve">Đã có E-learning. Triển khai đào tạo trực tuyến học phần lý thuyết du lịch.</t>
  </si>
  <si>
    <t xml:space="preserve">Khá. Cổng thông tin đào tạo tín chỉ và thu học phí trực tuyến đã vận hành ổn định.</t>
  </si>
  <si>
    <t xml:space="preserve">C1=3: có e-learning lý thuyết | C2=3: khớp: lab khoa học | C3=5: ngành du lịch/thương mại/liên kết Hàn: ngoại ngữ là năng lực nghề | C4=4: trường nghề nặng thực hành, học liệu chủ yếu giấy/PDF | C5=3: trung bình/chưa rõ | C6=3: Công lập – Bộ VHTTDL | C7=2: Không có sự kiện riêng; chỉ có động lực chính sách chung | C8=1: chưa có quan hệ (tự cập nhật) | C9=3: Vùng 3 | C10=4: số hóa quản lý khá | C11=3: trường trong mạng lưới</t>
  </si>
  <si>
    <t xml:space="preserve">htc.edu.vn</t>
  </si>
  <si>
    <t xml:space="preserve">File gốc #31</t>
  </si>
  <si>
    <t xml:space="preserve">CĐ Cơ điện và Thủy lợi (CS giáp Thanh Trì)</t>
  </si>
  <si>
    <t xml:space="preserve">Ngoài HN</t>
  </si>
  <si>
    <t xml:space="preserve">Điện tử, Tự động hóa, Cơ điện tử, Vận hành máy bơm</t>
  </si>
  <si>
    <t xml:space="preserve">Có LMS đào tạo trực tuyến. Phục vụ đào tạo lý thuyết nghề và cấp chứng chỉ trực tuyến.</t>
  </si>
  <si>
    <t xml:space="preserve">Số hóa tốt. Hệ thống quản trị trường nghề chuẩn hóa theo tiêu chí trường chất lượng cao.</t>
  </si>
  <si>
    <t xml:space="preserve">NGHI SAI VỊ TRÍ: nhiều khả năng ở Hưng Yên; kiểm tra lại</t>
  </si>
  <si>
    <t xml:space="preserve">C1=3: có e-learning lý thuyết | C2=5: khớp: điện–điện tử, cơ khí/ô tô/thiết bị, lab khoa học | C3=3: ngoại ngữ là chuẩn đầu ra chung | C4=4: trường nghề nặng thực hành, học liệu chủ yếu giấy/PDF | C5=3: trung bình/chưa rõ | C6=3: Chưa rõ | C7=2: Không có sự kiện riêng; chỉ có động lực chính sách chung | C8=1: chưa có quan hệ (tự cập nhật) | C9=1: Vùng Ngoài HN | C10=5: đã số hóa quản lý tốt | C11=3: trường trong mạng lưới</t>
  </si>
  <si>
    <t xml:space="preserve">codienthuyloi.edu.vn</t>
  </si>
  <si>
    <t xml:space="preserve">File gốc #51</t>
  </si>
  <si>
    <t xml:space="preserve">Trường ĐH Lâm nghiệp</t>
  </si>
  <si>
    <t xml:space="preserve">Lâm nghiệp, cơ điện, môi trường, sinh học</t>
  </si>
  <si>
    <t xml:space="preserve">C1=3: chưa rõ, giả định có LMS/Moodle cơ bản | C2=4: khớp: điện–điện tử, lab khoa học | C3=4: Đề án 2371 + chuẩn đầu ra tiếng Anh ĐH | C4=4: khối lượng giáo trình lớn | C5=3: trung bình | C6=3: Công lập – Bộ NN&amp;MT | C7=3: Đề án 2371 | C8=1: chưa có quan hệ (tự cập nhật) | C9=2: Vùng 4 (ước lượng) | C10=3: hạ tầng trung bình | C11=3: trường trung bình</t>
  </si>
  <si>
    <t xml:space="preserve">CĐ Sư phạm Trung ương (NCE)</t>
  </si>
  <si>
    <t xml:space="preserve">Công nghệ Giáo dục, Thiết bị mầm non thông minh, Đồ họa</t>
  </si>
  <si>
    <t xml:space="preserve">Đã có LMS Moodle. Phục vụ đào tạo giáo viên mầm non và bồi dưỡng chuẩn nghề nghiệp.</t>
  </si>
  <si>
    <t xml:space="preserve">Số hóa tốt. Hệ thống quản lý học tập tín chỉ và hồ sơ sinh viên sư phạm bài bản.</t>
  </si>
  <si>
    <t xml:space="preserve">C1=3: đang dùng Moodle | C2=3: khớp: cơ khí/ô tô/thiết bị | C3=3: ngoại ngữ là chuẩn đầu ra chung | C4=4: trường nghề nặng thực hành, học liệu chủ yếu giấy/PDF | C5=3: trung bình/chưa rõ | C6=3: Công lập – Bộ GD&amp;ĐT | C7=2: Không có sự kiện riêng; chỉ có động lực chính sách chung | C8=1: chưa có quan hệ (tự cập nhật) | C9=3: Vùng 3 | C10=5: đã số hóa quản lý tốt | C11=4: thuộc hệ thống trường của TP/bộ, dễ nhân rộng</t>
  </si>
  <si>
    <t xml:space="preserve">cdsptw.edu.vn</t>
  </si>
  <si>
    <t xml:space="preserve">File gốc #32</t>
  </si>
  <si>
    <t xml:space="preserve">CĐ nghề Đường sắt (VRC)</t>
  </si>
  <si>
    <t xml:space="preserve">Công lập – Tổng Cty ĐSVN</t>
  </si>
  <si>
    <t xml:space="preserve">Mạch tín hiệu đường sắt, Đầu máy toa xe, Điện công nghiệp</t>
  </si>
  <si>
    <t xml:space="preserve">Có LMS nội bộ ngành. Đào tạo trực tuyến quy chuẩn an toàn chạy tàu cho nhân viên ngành đường sắt.</t>
  </si>
  <si>
    <t xml:space="preserve">Khá. Hệ thống quản lý chứng chỉ nghề và sinh viên đường sắt trực thuộc Tổng công ty ĐSVN.</t>
  </si>
  <si>
    <t xml:space="preserve">C1=3: có e-learning lý thuyết | C2=5: khớp: điện–điện tử, cơ khí/ô tô/thiết bị | C3=3: ngoại ngữ là chuẩn đầu ra chung | C4=4: trường nghề nặng thực hành, học liệu chủ yếu giấy/PDF | C5=3: trung bình/chưa rõ | C6=3: Công lập – Tổng Cty ĐSVN | C7=2: Không có sự kiện riêng; chỉ có động lực chính sách chung | C8=1: chưa có quan hệ (tự cập nhật) | C9=2: Vùng 4 | C10=4: số hóa quản lý khá | C11=3: trường trong mạng lưới</t>
  </si>
  <si>
    <t xml:space="preserve">caodangduongsat.edu.vn</t>
  </si>
  <si>
    <t xml:space="preserve">File gốc #45</t>
  </si>
  <si>
    <t xml:space="preserve">CĐ nghề Kỹ thuật Công nghệ (TOCONTEL)</t>
  </si>
  <si>
    <t xml:space="preserve">Cơ khí chế tạo CNC, Điện tử công nghiệp, Cơ điện tử, Hàn 3D</t>
  </si>
  <si>
    <t xml:space="preserve">Đã có LMS của Tổng cục GDNN. Sử dụng nền tảng học số dùng chung và kho học liệu điện tử.</t>
  </si>
  <si>
    <t xml:space="preserve">Khá. Quản lý học bạ điện tử và hồ sơ sinh viên nghề chất lượng cao.</t>
  </si>
  <si>
    <t xml:space="preserve">C1=3: có e-learning lý thuyết | C2=5: khớp: điện–điện tử, cơ khí/ô tô/thiết bị | C3=3: ngoại ngữ là chuẩn đầu ra chung | C4=4: trường nghề nặng thực hành, học liệu chủ yếu giấy/PDF | C5=3: trung bình/chưa rõ | C6=3: Chưa rõ | C7=2: Không có sự kiện riêng; chỉ có động lực chính sách chung | C8=1: chưa có quan hệ (tự cập nhật) | C9=2: Vùng 4 | C10=4: số hóa quản lý khá | C11=3: trường trong mạng lưới</t>
  </si>
  <si>
    <t xml:space="preserve">cndt.edu.vn</t>
  </si>
  <si>
    <t xml:space="preserve">File gốc #49</t>
  </si>
  <si>
    <t xml:space="preserve">CĐ May và Thời trang Hà Nội (HCFT)</t>
  </si>
  <si>
    <t xml:space="preserve">Doanh nghiệp – Tập đoàn Dệt May</t>
  </si>
  <si>
    <t xml:space="preserve">Sửa chữa thiết bị may, May thời trang, Cơ điện tử dệt may</t>
  </si>
  <si>
    <t xml:space="preserve">Chưa có LMS thực hành. Sử dụng website trường để thông báo kế hoạch giảng dạy.</t>
  </si>
  <si>
    <t xml:space="preserve">Cơ bản. Quản lý dữ liệu sinh viên nội bộ trực thuộc Tập đoàn Dệt May VN.</t>
  </si>
  <si>
    <t xml:space="preserve">Chưa xác minh website (file có link nghi vấn)</t>
  </si>
  <si>
    <t xml:space="preserve">C1=5: chưa có LMS (theo file) | C2=4: khớp: điện–điện tử, cơ khí/ô tô/thiết bị | C3=3: ngoại ngữ là chuẩn đầu ra chung | C4=4: trường nghề nặng thực hành, học liệu chủ yếu giấy/PDF | C5=3: trung bình/chưa rõ | C6=3: Doanh nghiệp – Tập đoàn Dệt May | C7=2: Không có sự kiện riêng; chỉ có động lực chính sách chung | C8=1: chưa có quan hệ (tự cập nhật) | C9=2: Vùng 4 | C10=2: số hóa quản lý cơ bản | C11=3: trường trong mạng lưới</t>
  </si>
  <si>
    <t xml:space="preserve">File gốc #50</t>
  </si>
  <si>
    <t xml:space="preserve">CĐ Truyền hình (VTV College)</t>
  </si>
  <si>
    <t xml:space="preserve">Công lập – Đài THVN</t>
  </si>
  <si>
    <t xml:space="preserve">Kỹ thuật Truyền hình, Điện tử viễn thông, Đồ họa 3D, Quay phim</t>
  </si>
  <si>
    <t xml:space="preserve">Có E-learning cơ bản. Lưu trữ học liệu đa phương tiện và video bài giảng chuyên ngành.</t>
  </si>
  <si>
    <t xml:space="preserve">Khá. Hệ thống quản lý điểm và lịch giảng đường trực thuộc Đài Truyền hình VN.</t>
  </si>
  <si>
    <t xml:space="preserve">C1=4: LMS mức cơ bản | C2=3: khớp: điện–điện tử | C3=3: ngoại ngữ là chuẩn đầu ra chung | C4=4: trường nghề nặng thực hành, học liệu chủ yếu giấy/PDF | C5=3: trung bình/chưa rõ | C6=3: Công lập – Đài THVN | C7=2: Không có sự kiện riêng; chỉ có động lực chính sách chung | C8=1: chưa có quan hệ (tự cập nhật) | C9=3: Vùng 3 | C10=4: số hóa quản lý khá | C11=3: trường trong mạng lưới</t>
  </si>
  <si>
    <t xml:space="preserve">ctv.vtv.vn</t>
  </si>
  <si>
    <t xml:space="preserve">File gốc #40</t>
  </si>
  <si>
    <t xml:space="preserve">CĐ GTVT Trung ương I (CS Thường Tín)</t>
  </si>
  <si>
    <t xml:space="preserve">Điện - Điện tử Ô tô, Máy xây dựng, Xây dựng Cầu đường</t>
  </si>
  <si>
    <t xml:space="preserve">Có cổng đào tạo trực tuyến. Phục vụ đào tạo lý thuyết sát hạch lái xe và công nghệ kỹ thuật ô tô.</t>
  </si>
  <si>
    <t xml:space="preserve">Khá. Quản lý dữ liệu học viên đào tạo nghề giao thông theo quy chuẩn Bộ GTVT.</t>
  </si>
  <si>
    <t xml:space="preserve">C1=3: có e-learning lý thuyết | C2=4: khớp: điện–điện tử, cơ khí/ô tô/thiết bị | C3=3: ngoại ngữ là chuẩn đầu ra chung | C4=4: trường nghề nặng thực hành, học liệu chủ yếu giấy/PDF | C5=4: lớn, nhiều ngành | C6=3: Công lập – Bộ Xây dựng | C7=2: Không có sự kiện riêng; chỉ có động lực chính sách chung | C8=1: chưa có quan hệ (tự cập nhật) | C9=2: Vùng 4 | C10=4: số hóa quản lý khá | C11=3: trường trong mạng lưới</t>
  </si>
  <si>
    <t xml:space="preserve">gtvttw1.edu.vn</t>
  </si>
  <si>
    <t xml:space="preserve">File gốc #41</t>
  </si>
  <si>
    <t xml:space="preserve">Trường ĐH Lao động – Xã hội</t>
  </si>
  <si>
    <t xml:space="preserve">Kinh tế, xã hội, CNTT</t>
  </si>
  <si>
    <t xml:space="preserve">C1=3: chưa rõ, giả định có LMS/Moodle cơ bản | C2=1: không khớp nhóm nào | C3=4: Đề án 2371 + chuẩn đầu ra tiếng Anh ĐH | C4=4: khối lượng giáo trình lớn | C5=4: lớn | C6=3: Công lập | C7=3: Đề án 2371 | C8=1: chưa có quan hệ (tự cập nhật) | C9=4: Vùng 2 (ước lượng) | C10=4: hạ tầng khá | C11=3: trường trung bình</t>
  </si>
  <si>
    <t xml:space="preserve">CĐ Cơ điện Hà Nội (HCEM - CS Mai Dịch)</t>
  </si>
  <si>
    <t xml:space="preserve">Cơ điện tử, Robot công nghiệp, Điện tử, Tự động hóa, Ô tô</t>
  </si>
  <si>
    <t xml:space="preserve">Vận hành HCEM Smart Campus (AI): Chi tiết tại hcem.edu.vn/luu-tru/10160.</t>
  </si>
  <si>
    <t xml:space="preserve">Đã số hóa toàn diện. Dự án Smart Campus bao phủ từ quản trị, học tập đến thư viện số.</t>
  </si>
  <si>
    <t xml:space="preserve">C1=1: Smart Campus đã vận hành | C2=5: khớp: điện–điện tử, cơ khí/ô tô/thiết bị, lab khoa học | C3=3: ngoại ngữ là chuẩn đầu ra chung | C4=2: đã có thư viện số/học liệu số tốt | C5=4: lớn, nhiều ngành | C6=3: Công lập – bộ ngành | C7=2: Không có sự kiện riêng; chỉ có động lực chính sách chung | C8=1: chưa có quan hệ (tự cập nhật) | C9=4: Vùng 2 | C10=5: đã số hóa quản lý tốt | C11=5: đầu tàu ngành</t>
  </si>
  <si>
    <t xml:space="preserve">hcem.edu.vn</t>
  </si>
  <si>
    <t xml:space="preserve">File gốc #23</t>
  </si>
  <si>
    <t xml:space="preserve">CĐ Xây dựng Công trình Đô thị (CUWC)</t>
  </si>
  <si>
    <t xml:space="preserve">Cấp thoát nước đô thị, Điện công trình, Xây dựng dân dụng, BIM 3D</t>
  </si>
  <si>
    <t xml:space="preserve">Có hệ thống LMS Moodle. Đang triển khai các dự án hợp tác quốc tế về chuyển đổi số giáo dục nghề nghiệp.</t>
  </si>
  <si>
    <t xml:space="preserve">Số hóa tốt. Hệ thống ERP trường học quản lý toàn bộ học vụ, ký túc xá và văn bằng điện tử.</t>
  </si>
  <si>
    <t xml:space="preserve">C1=3: đang dùng Moodle | C2=4: khớp: điện–điện tử, cơ khí/ô tô/thiết bị | C3=3: ngoại ngữ là chuẩn đầu ra chung | C4=4: trường nghề nặng thực hành, học liệu chủ yếu giấy/PDF | C5=3: trung bình/chưa rõ | C6=3: Công lập – Bộ Xây dựng | C7=2: Không có sự kiện riêng; chỉ có động lực chính sách chung | C8=1: chưa có quan hệ (tự cập nhật) | C9=2: Vùng 4 | C10=5: đã số hóa quản lý tốt | C11=3: trường trong mạng lưới</t>
  </si>
  <si>
    <t xml:space="preserve">cuwc.edu.vn</t>
  </si>
  <si>
    <t xml:space="preserve">File gốc #48</t>
  </si>
  <si>
    <t xml:space="preserve">CĐ Cơ khí Nông nghiệp (CAM - Vành đai phía Bắc)</t>
  </si>
  <si>
    <t xml:space="preserve">Thiết kế vi mạch, Robot công nghiệp, Công nghệ Ô tô, Cơ khí CNC</t>
  </si>
  <si>
    <t xml:space="preserve">Đã có LMS E-learning hoàn chỉnh. Nằm trong mạng lưới trường nghề trọng điểm quốc tế chuyển đổi số mạnh mẽ.</t>
  </si>
  <si>
    <t xml:space="preserve">Số hóa toàn diện. Ứng dụng phần mềm quản lý học vụ tín chỉ, thư viện số và điểm danh tự động.</t>
  </si>
  <si>
    <t xml:space="preserve">SAI VỊ TRÍ: trụ sở tại Bình Xuyên, Vĩnh Phúc cũ (nay Phú Thọ)</t>
  </si>
  <si>
    <t xml:space="preserve">C1=2: đã có LMS đầy đủ | C2=5: khớp: điện–điện tử, cơ khí/ô tô/thiết bị, lab khoa học | C3=3: ngoại ngữ là chuẩn đầu ra chung | C4=4: trường nghề nặng thực hành, học liệu chủ yếu giấy/PDF | C5=4: lớn, nhiều ngành | C6=3: Công lập – bộ ngành | C7=2: Không có sự kiện riêng; chỉ có động lực chính sách chung | C8=1: chưa có quan hệ (tự cập nhật) | C9=1: Vùng Ngoài HN | C10=5: đã số hóa quản lý tốt | C11=3: trường trong mạng lưới</t>
  </si>
  <si>
    <t xml:space="preserve">cam.edu.vn</t>
  </si>
  <si>
    <t xml:space="preserve">File gốc #52</t>
  </si>
  <si>
    <t xml:space="preserve">CĐ Nông nghiệp &amp; PTNT Bắc Bộ</t>
  </si>
  <si>
    <t xml:space="preserve">Cơ khí nông nghiệp, Điện công nghiệp, Trắc địa &amp; Địa chính 3D</t>
  </si>
  <si>
    <t xml:space="preserve">Có cổng học tập trực tuyến. Hỗ trợ các lớp tập huấn kỹ thuật nông nghiệp từ xa.</t>
  </si>
  <si>
    <t xml:space="preserve">Trung bình. Quản lý học vụ theo niên chế trực thuộc Bộ NN&amp;PTNT.</t>
  </si>
  <si>
    <t xml:space="preserve">C1=3: có e-learning lý thuyết | C2=5: khớp: điện–điện tử, cơ khí/ô tô/thiết bị, lab khoa học | C3=3: ngoại ngữ là chuẩn đầu ra chung | C4=4: trường nghề nặng thực hành, học liệu chủ yếu giấy/PDF | C5=3: trung bình/chưa rõ | C6=3: Công lập – Bộ NN&amp;MT | C7=2: Không có sự kiện riêng; chỉ có động lực chính sách chung | C8=1: chưa có quan hệ (tự cập nhật) | C9=2: Vùng 4 | C10=3: số hóa trung bình | C11=3: trường trong mạng lưới</t>
  </si>
  <si>
    <t xml:space="preserve">vcard.edu.vn</t>
  </si>
  <si>
    <t xml:space="preserve">File gốc #43</t>
  </si>
  <si>
    <t xml:space="preserve">CĐ Kinh tế Công nghiệp Hà Nội (HIEC)</t>
  </si>
  <si>
    <t xml:space="preserve">Công lập – bộ ngành (cần xác minh)</t>
  </si>
  <si>
    <t xml:space="preserve">Điện tử công nghiệp, Kỹ thuật vi tính, Công nghệ kỹ thuật điện</t>
  </si>
  <si>
    <t xml:space="preserve">Có LMS E-learning. Vận hành đào tạo từ xa và bổ trợ học trên lớp.</t>
  </si>
  <si>
    <t xml:space="preserve">Khá. Quản lý sinh viên và kế hoạch đào tạo qua phân hệ quản lý trực tuyến.</t>
  </si>
  <si>
    <t xml:space="preserve">C1=3: có e-learning lý thuyết | C2=3: khớp: điện–điện tử | C3=3: ngoại ngữ là chuẩn đầu ra chung | C4=4: trường nghề nặng thực hành, học liệu chủ yếu giấy/PDF | C5=3: trung bình/chưa rõ | C6=3: Công lập – bộ ngành (cần xác minh) | C7=2: Không có sự kiện riêng; chỉ có động lực chính sách chung | C8=1: chưa có quan hệ (tự cập nhật) | C9=4: Vùng 2 | C10=4: số hóa quản lý khá | C11=3: trường trong mạng lưới</t>
  </si>
  <si>
    <t xml:space="preserve">hiec.edu.vn</t>
  </si>
  <si>
    <t xml:space="preserve">File gốc #17</t>
  </si>
  <si>
    <t xml:space="preserve">CĐ Kinh tế Kỹ thuật Trung ương (NETC)</t>
  </si>
  <si>
    <t xml:space="preserve">Công lập – Liên minh HTX VN</t>
  </si>
  <si>
    <t xml:space="preserve">Điện - Điện tử, Tin học ứng dụng, May thời trang công nghiệp</t>
  </si>
  <si>
    <t xml:space="preserve">Có E-learning cơ bản. Khảo sát điểm thi và tài liệu học tập qua cổng web.</t>
  </si>
  <si>
    <t xml:space="preserve">Khá. Quản trị sinh viên và thông tin tín chỉ trực tuyến trực thuộc Liên minh HTX Việt Nam.</t>
  </si>
  <si>
    <t xml:space="preserve">C1=4: LMS mức cơ bản | C2=3: khớp: điện–điện tử | C3=3: ngoại ngữ là chuẩn đầu ra chung | C4=4: trường nghề nặng thực hành, học liệu chủ yếu giấy/PDF | C5=3: trung bình/chưa rõ | C6=3: Công lập – Liên minh HTX VN | C7=2: Không có sự kiện riêng; chỉ có động lực chính sách chung | C8=1: chưa có quan hệ (tự cập nhật) | C9=2: Vùng 4 | C10=4: số hóa quản lý khá | C11=3: trường trong mạng lưới</t>
  </si>
  <si>
    <t xml:space="preserve">netc.edu.vn</t>
  </si>
  <si>
    <t xml:space="preserve">File gốc #47</t>
  </si>
  <si>
    <t xml:space="preserve">CĐ FPT Polytechnic Hà Nội</t>
  </si>
  <si>
    <t xml:space="preserve">Tư thục – Tổ chức GD FPT</t>
  </si>
  <si>
    <t xml:space="preserve">Thiết kế vi mạch, Tự động hóa, IoT/Nhúng, Cơ khí, Đồ họa 3D</t>
  </si>
  <si>
    <t xml:space="preserve">Hệ sinh thái LMS tự phát triển: lms.poly.edu.vn, cms.poly.edu.vn. Quản lý tại ap.poly.edu.vn.</t>
  </si>
  <si>
    <t xml:space="preserve">Số hóa toàn diện 100%. Mọi hoạt động từ điểm danh, nộp assignment đến chấm code đều tự động.</t>
  </si>
  <si>
    <t xml:space="preserve">C1=1: hệ sinh thái LMS tự phát triển | C2=5: khớp: điện–điện tử, cơ khí/ô tô/thiết bị, lab khoa học | C3=3: ngoại ngữ là chuẩn đầu ra chung | C4=2: đã có thư viện số/học liệu số tốt | C5=5: rất lớn | C6=3: Tư thục – Tổ chức GD FPT | C7=2: Không có sự kiện riêng; chỉ có động lực chính sách chung | C8=1: chưa có quan hệ (tự cập nhật) | C9=4: Vùng 2 | C10=5: đã số hóa quản lý tốt | C11=3: trường trong mạng lưới</t>
  </si>
  <si>
    <t xml:space="preserve">Quyết định ở cấp tập đoàn, tự phát triển LMS; chỉ nên chào khóa mô phỏng/học liệu</t>
  </si>
  <si>
    <t xml:space="preserve">caodang.fpt.edu.vn</t>
  </si>
  <si>
    <t xml:space="preserve">File gốc #18</t>
  </si>
  <si>
    <t xml:space="preserve">CĐ An ninh mạng iSPACE (VP Đào tạo Hà Nội)</t>
  </si>
  <si>
    <t xml:space="preserve">An ninh mạng, Quản trị mạng, Lập trình nhúng &amp; IoT</t>
  </si>
  <si>
    <t xml:space="preserve">Đã có hệ thống LMS chuyên sâu. Chuyên chạy máy ảo Cyber Range thực hành mạng.</t>
  </si>
  <si>
    <t xml:space="preserve">Số hóa tốt. Hệ thống quản trị sinh viên tập trung từ cơ sở chính.</t>
  </si>
  <si>
    <t xml:space="preserve">SAI VỊ TRÍ: trường đặt tại TP.HCM, không thấy cơ sở Hà Nội</t>
  </si>
  <si>
    <t xml:space="preserve">C1=2: đã có LMS đầy đủ | C2=3: khớp: điện–điện tử | C3=3: ngoại ngữ là chuẩn đầu ra chung | C4=4: trường nghề nặng thực hành, học liệu chủ yếu giấy/PDF | C5=3: trung bình/chưa rõ | C6=5: Tư thục | C7=2: Không có sự kiện riêng; chỉ có động lực chính sách chung | C8=1: chưa có quan hệ (tự cập nhật) | C9=1: Vùng Ngoài HN | C10=5: đã số hóa quản lý tốt | C11=2: ít giá trị tham chiếu tại HN</t>
  </si>
  <si>
    <t xml:space="preserve">ispace.edu.vn</t>
  </si>
  <si>
    <t xml:space="preserve">File gốc #10</t>
  </si>
  <si>
    <t xml:space="preserve">Trường ĐH FPT (Hòa Lạc)</t>
  </si>
  <si>
    <t xml:space="preserve">Cần khảo sát (hệ thống tự phát triển (giả định))</t>
  </si>
  <si>
    <t xml:space="preserve">C1=1: hệ thống tự phát triển (giả định) | C2=3: khớp: điện–điện tử | C3=4: Đề án 2371 + chuẩn đầu ra tiếng Anh ĐH | C4=2: đã có hệ thống học liệu số riêng | C5=5: rất lớn | C6=3: Tư thục – Tổ chức GD FPT | C7=3: Đề án 2371 | C8=1: chưa có quan hệ (tự cập nhật) | C9=2: Vùng 4 (ước lượng) | C10=5: hạ tầng CNTT mạnh | C11=3: trường trung bình</t>
  </si>
  <si>
    <t xml:space="preserve">Tự phát triển hệ thống; chỉ chào khóa mô phỏng/học liệu</t>
  </si>
  <si>
    <t xml:space="preserve">CĐ Phát thanh - Truyền hình I (CS Xuân Mai)</t>
  </si>
  <si>
    <t xml:space="preserve">Công lập – Đài TNVN</t>
  </si>
  <si>
    <t xml:space="preserve">Kỹ thuật Điện tử - Viễn thông, Công nghệ kỹ thuật truyền hình</t>
  </si>
  <si>
    <t xml:space="preserve">Đã có hệ thống E-learning. Vận hành đào tạo bồi dưỡng nghiệp vụ báo chí - kỹ thuật của Đài Tiếng nói VN.</t>
  </si>
  <si>
    <t xml:space="preserve">Khá. Số hóa dữ liệu sinh viên và cổng thông tin đào tạo tín chỉ hoàn chỉnh.</t>
  </si>
  <si>
    <t xml:space="preserve">SAI VỊ TRÍ: trụ sở tại Phủ Lý (Hà Nam cũ)</t>
  </si>
  <si>
    <t xml:space="preserve">C1=3: có e-learning lý thuyết | C2=3: khớp: điện–điện tử | C3=3: ngoại ngữ là chuẩn đầu ra chung | C4=4: trường nghề nặng thực hành, học liệu chủ yếu giấy/PDF | C5=3: trung bình/chưa rõ | C6=3: Công lập – Đài TNVN | C7=2: Không có sự kiện riêng; chỉ có động lực chính sách chung | C8=1: chưa có quan hệ (tự cập nhật) | C9=1: Vùng Ngoài HN | C10=4: số hóa quản lý khá | C11=3: trường trong mạng lưới</t>
  </si>
  <si>
    <t xml:space="preserve">vov.edu.vn</t>
  </si>
  <si>
    <t xml:space="preserve">File gốc #44</t>
  </si>
  <si>
    <t xml:space="preserve">CĐ Nghệ thuật Hà Nội</t>
  </si>
  <si>
    <t xml:space="preserve">Thiết kế mỹ thuật 3D, Âm thanh ánh sáng sân khấu, Thiết kế đồ họa</t>
  </si>
  <si>
    <t xml:space="preserve">Chưa có LMS chuyên biệt. Quản lý đào tạo theo phương thức tập trung tại xưởng/phòng tập.</t>
  </si>
  <si>
    <t xml:space="preserve">Cơ bản. Cổng thông tin đăng tải lịch thi và thông báo học vụ.</t>
  </si>
  <si>
    <t xml:space="preserve">Giữ nguyên, tái cấu trúc; BGH bố trí lại 6/10/2026</t>
  </si>
  <si>
    <t xml:space="preserve">Đã xác minh giữ nguyên; khoảng cách trong file có thể sai</t>
  </si>
  <si>
    <t xml:space="preserve">C1=5: chưa có LMS (theo file) | C2=1: không khớp nhóm nào | C3=2: ngành năng khiếu, ngoại ngữ ít ưu tiên | C4=4: trường nghề nặng thực hành, học liệu chủ yếu giấy/PDF | C5=2: nhỏ, chuyên biệt | C6=3: Công lập – TP Hà Nội | C7=3: Giữ nguyên, tái cấu trúc; BGH bố trí lại 6/10/2026 | C8=1: chưa có quan hệ (tự cập nhật) | C9=3: Vùng 3 | C10=2: số hóa quản lý cơ bản | C11=3: trường trong mạng lưới</t>
  </si>
  <si>
    <t xml:space="preserve">Hiệu trưởng: Vũ Tiến Dũng (TB 750-TB/TU)</t>
  </si>
  <si>
    <t xml:space="preserve">nghethuathanoi.edu.vn</t>
  </si>
  <si>
    <t xml:space="preserve">File gốc #35</t>
  </si>
  <si>
    <t xml:space="preserve">CĐ Truyền thông Quốc tế (IMC)</t>
  </si>
  <si>
    <t xml:space="preserve">Kỹ thuật dựng hình 3D, Kỹ thuật âm thanh ánh sáng, CNTT</t>
  </si>
  <si>
    <t xml:space="preserve">LMS mức cơ bản. Có cổng quản lý tài liệu học tập của các lớp tín chỉ.</t>
  </si>
  <si>
    <t xml:space="preserve">Trung bình. Quản lý tuyển sinh và đào tạo qua website trường.</t>
  </si>
  <si>
    <t xml:space="preserve">Chưa xác minh</t>
  </si>
  <si>
    <t xml:space="preserve">C1=4: LMS mức cơ bản | C2=1: không khớp nhóm nào | C3=3: ngoại ngữ là chuẩn đầu ra chung | C4=4: trường nghề nặng thực hành, học liệu chủ yếu giấy/PDF | C5=2: nhỏ, chuyên biệt | C6=3: Chưa rõ | C7=2: Không có sự kiện riêng; chỉ có động lực chính sách chung | C8=1: chưa có quan hệ (tự cập nhật) | C9=4: Vùng 2 | C10=3: số hóa trung bình | C11=3: trường trong mạng lưới</t>
  </si>
  <si>
    <t xml:space="preserve">imc.edu.vn</t>
  </si>
  <si>
    <t xml:space="preserve">File gốc #22</t>
  </si>
  <si>
    <t xml:space="preserve">CĐ Nghệ thuật và Thiết kế Hà Nội</t>
  </si>
  <si>
    <t xml:space="preserve">Thiết kế đồ họa 3D, Diễn họa kiến trúc 3D, Mỹ thuật đa phương tiện</t>
  </si>
  <si>
    <t xml:space="preserve">Chưa có LMS thực hành chuyên sâu. Chủ yếu dùng Google Workspace và drive chia sẻ file.</t>
  </si>
  <si>
    <t xml:space="preserve">Cơ bản. Cổng thông tin hỗ trợ tiếp nhận hồ sơ xét tuyển online.</t>
  </si>
  <si>
    <t xml:space="preserve">Chưa xác minh tên trường tồn tại</t>
  </si>
  <si>
    <t xml:space="preserve">C1=5: chưa có LMS (theo file) | C2=1: không khớp nhóm nào | C3=2: ngành năng khiếu, ngoại ngữ ít ưu tiên | C4=4: trường nghề nặng thực hành, học liệu chủ yếu giấy/PDF | C5=2: nhỏ, chuyên biệt | C6=3: Chưa rõ | C7=2: Không có sự kiện riêng; chỉ có động lực chính sách chung | C8=1: chưa có quan hệ (tự cập nhật) | C9=4: Vùng 2 | C10=2: số hóa quản lý cơ bản | C11=3: trường trong mạng lưới</t>
  </si>
  <si>
    <t xml:space="preserve">caodangnghethuat.edu.vn</t>
  </si>
  <si>
    <t xml:space="preserve">File gốc #20</t>
  </si>
  <si>
    <t xml:space="preserve">Trường ĐH Mỹ thuật Công nghiệp</t>
  </si>
  <si>
    <t xml:space="preserve">Thiết kế, mỹ thuật, đồ họa 3D</t>
  </si>
  <si>
    <t xml:space="preserve">Không có sự kiện riêng</t>
  </si>
  <si>
    <t xml:space="preserve">C1=4: chưa rõ, giả định LMS sơ khai | C2=1: không khớp nhóm nào | C3=3: ngành năng khiếu, ngoại ngữ là môn chung | C4=3: đã có một phần học liệu số | C5=3: trung bình | C6=3: Công lập | C7=2: Không có sự kiện riêng | C8=1: chưa có quan hệ (tự cập nhật) | C9=4: Vùng 2 (ước lượng) | C10=3: hạ tầng trung bình | C11=2: ít giá trị tham chiếu</t>
  </si>
  <si>
    <t xml:space="preserve">CĐ Múa Việt Nam</t>
  </si>
  <si>
    <t xml:space="preserve">Biên đạo múa, Kỹ thuật âm thanh sân khấu, Thiết kế trang phục</t>
  </si>
  <si>
    <t xml:space="preserve">Chưa có LMS. Đặc thù đào tạo năng khiếu trực tiếp.</t>
  </si>
  <si>
    <t xml:space="preserve">Cơ bản. Quản trị hồ sơ học sinh, sinh viên nội bộ.</t>
  </si>
  <si>
    <t xml:space="preserve">C1=5: chưa có LMS (theo file) | C2=1: không khớp nhóm nào | C3=2: ngành năng khiếu, ngoại ngữ ít ưu tiên | C4=2: đào tạo năng khiếu trực tiếp, ít học liệu số hóa được | C5=2: nhỏ, chuyên biệt | C6=3: Công lập – Bộ VHTTDL | C7=2: Không có sự kiện riêng; chỉ có động lực chính sách chung | C8=1: chưa có quan hệ (tự cập nhật) | C9=3: Vùng 3 | C10=2: số hóa quản lý cơ bản | C11=3: trường trong mạng lưới</t>
  </si>
  <si>
    <t xml:space="preserve">cdmuavietnam.edu.vn</t>
  </si>
  <si>
    <t xml:space="preserve">File gốc #39</t>
  </si>
  <si>
    <t xml:space="preserve">Pipeline liên hệ</t>
  </si>
  <si>
    <t xml:space="preserve">Đã điền sẵn trường Đợt 1 và Đợt 2 (theo điểm sơ bộ). Thêm dòng mới ở cuối khi cần. Cột Đợt tự cập nhật theo sheet Chấm điểm.</t>
  </si>
  <si>
    <t xml:space="preserve">Đợt (tự động)</t>
  </si>
  <si>
    <t xml:space="preserve">Điểm (tự động)</t>
  </si>
  <si>
    <t xml:space="preserve">Người liên hệ</t>
  </si>
  <si>
    <t xml:space="preserve">Chức vụ</t>
  </si>
  <si>
    <t xml:space="preserve">Điện thoại / Email</t>
  </si>
  <si>
    <t xml:space="preserve">Kênh tiếp cận</t>
  </si>
  <si>
    <t xml:space="preserve">Ngày liên hệ đầu</t>
  </si>
  <si>
    <t xml:space="preserve">Nhu cầu chính phát hiện</t>
  </si>
  <si>
    <t xml:space="preserve">Gói đề xuất</t>
  </si>
  <si>
    <t xml:space="preserve">Giá trị ước tính (triệu đ)</t>
  </si>
  <si>
    <t xml:space="preserve">Bước tiếp theo</t>
  </si>
  <si>
    <t xml:space="preserve">Hạn</t>
  </si>
  <si>
    <t xml:space="preserve">Bước số (tự động)</t>
  </si>
  <si>
    <t xml:space="preserve">VÍ DỤ – CĐ ABC (xóa dòng này khi dùng)</t>
  </si>
  <si>
    <t xml:space="preserve">Nguyễn Văn A</t>
  </si>
  <si>
    <t xml:space="preserve">Trưởng phòng Đào tạo</t>
  </si>
  <si>
    <t xml:space="preserve">09xx xxx xxx</t>
  </si>
  <si>
    <t xml:space="preserve">Giới thiệu</t>
  </si>
  <si>
    <t xml:space="preserve">2026-11-04</t>
  </si>
  <si>
    <t xml:space="preserve">Hợp nhất 2 bộ giáo trình sau sáp nhập; thiếu thiết bị điện</t>
  </si>
  <si>
    <t xml:space="preserve">Pilot số hóa 1 khoa + mô phỏng mạch điện</t>
  </si>
  <si>
    <t xml:space="preserve">Gửi đề xuất pilot</t>
  </si>
  <si>
    <t xml:space="preserve">2026-11-15</t>
  </si>
  <si>
    <t xml:space="preserve">1. Chưa liên hệ</t>
  </si>
  <si>
    <t xml:space="preserve">Kịch bản tiếp cận theo phân khúc</t>
  </si>
  <si>
    <t xml:space="preserve">Mở cuộc gặp bằng nỗi đau cụ thể, kết thúc bằng một pilot nhỏ. Cả gói nằm trong đề xuất, không trình bày hết ở lần gặp đầu.</t>
  </si>
  <si>
    <t xml:space="preserve">Phân khúc</t>
  </si>
  <si>
    <t xml:space="preserve">Trường tiêu biểu trong danh sách</t>
  </si>
  <si>
    <t xml:space="preserve">Nỗi đau thường gặp</t>
  </si>
  <si>
    <t xml:space="preserve">Câu mở đầu gợi ý</t>
  </si>
  <si>
    <t xml:space="preserve">Gói mở cửa (pilot)</t>
  </si>
  <si>
    <t xml:space="preserve">Cần gặp ai</t>
  </si>
  <si>
    <t xml:space="preserve">Mang theo bằng chứng gì</t>
  </si>
  <si>
    <t xml:space="preserve">Công lập vừa sáp nhập/nâng cấp</t>
  </si>
  <si>
    <t xml:space="preserve">CĐ Y tế HN; CĐ nghề Công nghiệp HN; CĐ Điện tử-Điện lạnh HN; CĐ Thương mại &amp; Du lịch HN; CĐ nghề Việt Nam–Hàn Quốc; 2 trung cấp nâng cấp</t>
  </si>
  <si>
    <t xml:space="preserve">2–3 bộ chương trình, giáo trình, dữ liệu SV khác nhau phải gộp làm một; BGH mới cần kết quả rõ trong năm đầu; giảng viên các cơ sở cũ chưa dùng chung công cụ</t>
  </si>
  <si>
    <t xml:space="preserve">"Sau sáp nhập, trường đang có mấy bộ giáo trình cho cùng một nghề? Chúng tôi giúp kiểm kê và đưa về một kho học liệu chung trên một nền tảng trong một học kỳ."</t>
  </si>
  <si>
    <t xml:space="preserve">Kiểm kê học liệu miễn phí + pilot số hóa và lên LMS cho 1 khoa/1 nghề trong học kỳ 2</t>
  </si>
  <si>
    <t xml:space="preserve">Hiệu trưởng / PHT phụ trách đào tạo; Trưởng phòng Đào tạo; người phụ trách CNTT</t>
  </si>
  <si>
    <t xml:space="preserve">Mẫu báo cáo kiểm kê học liệu; demo LMS với lớp gộp từ 2 cơ sở; kế hoạch triển khai 1 học kỳ</t>
  </si>
  <si>
    <t xml:space="preserve">Y – dược – điều dưỡng</t>
  </si>
  <si>
    <t xml:space="preserve">CĐ Y Dược Tuệ Tĩnh; CĐ Y Dược Pasteur; CĐ Y Dược HN; CĐ Dược HN; CĐ Y HN; CĐ Y tế Bạch Mai; ĐH Đại Nam; ĐH Thăng Long; ĐH Thành Đô</t>
  </si>
  <si>
    <t xml:space="preserve">Thiếu giờ thực hành lâm sàng, phòng skills lab đắt; SV điều dưỡng muốn làm việc ở Nhật/Đức cần ngoại ngữ chuyên ngành; tuyển sinh cạnh tranh</t>
  </si>
  <si>
    <t xml:space="preserve">"Sinh viên của trường được luyện bao nhiêu quy trình điều dưỡng trước khi vào viện? Chúng tôi có mô phỏng quy trình để luyện không giới hạn số lần."</t>
  </si>
  <si>
    <t xml:space="preserve">1 mô-đun mô phỏng điều dưỡng + 1 khóa ngoại ngữ chuyên ngành, chạy thử cho 1 lớp</t>
  </si>
  <si>
    <t xml:space="preserve">Trưởng khoa Điều dưỡng/Dược; Phòng Đào tạo; với tư thục: chủ đầu tư/Hiệu trưởng</t>
  </si>
  <si>
    <t xml:space="preserve">Video demo mô phỏng; đề cương khóa tiếng Nhật/Đức/Anh điều dưỡng</t>
  </si>
  <si>
    <t xml:space="preserve">Kỹ thuật: điện – cơ khí – ô tô</t>
  </si>
  <si>
    <t xml:space="preserve">CTECH; HACTECH; CĐ Công nghệ &amp; Thương mại HN; CĐ Bách Khoa; CĐ Đại Việt; CĐ Quốc tế HN; CĐ Kỹ thuật TTB Y tế</t>
  </si>
  <si>
    <t xml:space="preserve">Thiết bị thực hành đắt, hao mòn, sĩ số xưởng lớn; giáo trình mô-đun cũ; khó cập nhật công nghệ mới (xe điện, vi mạch)</t>
  </si>
  <si>
    <t xml:space="preserve">"Mỗi học kỳ trường mất bao nhiêu linh kiện, thiết bị vì sinh viên thực hành sai? Mô phỏng giúp SV làm đúng trước khi vào xưởng."</t>
  </si>
  <si>
    <t xml:space="preserve">Mô phỏng 1 mô-đun (ví dụ mạch điện cơ bản hoặc hệ thống điện ô tô) + số hóa giáo trình chính mô-đun đó</t>
  </si>
  <si>
    <t xml:space="preserve">Trưởng khoa Điện/Cơ khí/Ô tô; Phòng Đào tạo</t>
  </si>
  <si>
    <t xml:space="preserve">Demo mô phỏng mạch/ô tô; so sánh chi phí vật tư trước và sau</t>
  </si>
  <si>
    <t xml:space="preserve">Tư thục đa ngành</t>
  </si>
  <si>
    <t xml:space="preserve">CĐ Bách nghệ; CĐ Công nghệ HN (Hitech); HUBT; ĐH Phenikaa; ĐH Hòa Bình</t>
  </si>
  <si>
    <t xml:space="preserve">Cạnh tranh tuyển sinh; cần điểm khác biệt để truyền thông; muốn tối ưu chi phí giảng dạy</t>
  </si>
  <si>
    <t xml:space="preserve">"Năm tới trường muốn tuyển sinh bằng điểm khác biệt nào? 'Thực hành ảo + ngoại ngữ ngay từ năm nhất' là thông điệp phụ huynh dễ hiểu."</t>
  </si>
  <si>
    <t xml:space="preserve">Cả gói, tính phí theo số SV/năm; pilot cho khóa tuyển sinh mới</t>
  </si>
  <si>
    <t xml:space="preserve">Chủ đầu tư/Chủ tịch HĐQT; Hiệu trưởng; Trưởng phòng Tuyển sinh</t>
  </si>
  <si>
    <t xml:space="preserve">Mẫu nội dung truyền thông tuyển sinh dùng sản phẩm; bảng giá theo SV</t>
  </si>
  <si>
    <t xml:space="preserve">PTIT; ĐH Xây dựng; ĐH Thủy lợi; UNETI; ĐH Dược HN; ĐH Mở HN; HaUI; ĐH Thủ đô HN</t>
  </si>
  <si>
    <t xml:space="preserve">Chuẩn đầu ra tiếng Anh; mục tiêu QĐ 2371 đến 2030; khối lượng giáo trình lớn chưa số hóa; phòng thí nghiệm quá tải</t>
  </si>
  <si>
    <t xml:space="preserve">"Theo QĐ 2371, đến 2030 tối thiểu 20% cơ sở đại học phải đạt mức 1. Trường đang theo lộ trình nào? Chúng tôi có thể số hóa giáo trình và triển khai tiếng Anh chuyên ngành trên nền tảng của trường."</t>
  </si>
  <si>
    <t xml:space="preserve">Số hóa học liệu 1 khoa + khóa tiếng Anh chuyên ngành; mô phỏng lab cho 1 học phần</t>
  </si>
  <si>
    <t xml:space="preserve">Phòng Đào tạo; Trung tâm Ngoại ngữ; Trung tâm Học liệu/Thư viện; Trưởng khoa</t>
  </si>
  <si>
    <t xml:space="preserve">Trích QĐ 2371; mẫu học liệu số đã làm; khả năng tích hợp SCORM/LTI với LMS hiện có</t>
  </si>
  <si>
    <t xml:space="preserve">TT GDNN-GDTX (14 TT sau sắp xếp)</t>
  </si>
  <si>
    <t xml:space="preserve">14 TT khu vực, ưu tiên Hà Đông–Chương Mỹ và Hoàng Mai–Thanh Xuân</t>
  </si>
  <si>
    <t xml:space="preserve">Vừa gộp từ 29 TT; học viên GDTX cấp THPT thiếu phòng thí nghiệm Lý–Hóa–Sinh; ngân sách hạn chế; 5 TT sắp chuyển thành trường trung học nghề</t>
  </si>
  <si>
    <t xml:space="preserve">"Học viên GDTX của trung tâm làm thí nghiệm Lý, Hóa, Sinh ở đâu? Phòng thí nghiệm ảo trên một nền tảng dùng chung cho cả 14 trung tâm giúp tiết kiệm đầu tư."</t>
  </si>
  <si>
    <t xml:space="preserve">Đề xuất cấp cụm tới Sở GD&amp;ĐT; pilot tại 1 TT (Hà Đông–Chương Mỹ)</t>
  </si>
  <si>
    <t xml:space="preserve">Sở GD&amp;ĐT HN (phòng phụ trách GDNN-GDTX); Giám đốc TT</t>
  </si>
  <si>
    <t xml:space="preserve">Demo lab ảo Lý–Hóa–Sinh; mô hình chi phí cho 14 TT so với đầu tư phòng thí nghiệm thật</t>
  </si>
  <si>
    <t xml:space="preserve">Đã số hóa mạnh (không chào LMS)</t>
  </si>
  <si>
    <t xml:space="preserve">CĐ Công nghệ cao HN; CĐ Cơ điện HN (HCEM); FPT Polytechnic; ĐH FPT; HaUI</t>
  </si>
  <si>
    <t xml:space="preserve">Đã có LMS/Smart Campus; cần nội dung chất lượng cho ngành mới (vi mạch, xe điện, AI)</t>
  </si>
  <si>
    <t xml:space="preserve">"Trường đã có nền tảng tốt. Chúng tôi cung cấp nội dung mô phỏng và học liệu số chạy ngay trên LMS hiện có."</t>
  </si>
  <si>
    <t xml:space="preserve">Gói nội dung: mô phỏng + học liệu số theo chuẩn SCORM/xAPI cho 1 ngành mới</t>
  </si>
  <si>
    <t xml:space="preserve">Trưởng khoa ngành mới; Trung tâm/phòng phụ trách học liệu số</t>
  </si>
  <si>
    <t xml:space="preserve">File SCORM chạy thử trên LMS của trường</t>
  </si>
  <si>
    <t xml:space="preserve">Câu hỏi khảo sát nhu cầu (dùng ở cuộc gặp đầu)</t>
  </si>
  <si>
    <t xml:space="preserve">Mỗi câu gắn với tiêu chí để bạn chấm lại điểm sau buổi gặp.</t>
  </si>
  <si>
    <t xml:space="preserve">Câu hỏi</t>
  </si>
  <si>
    <t xml:space="preserve">Nghe gì để chấm điểm cao</t>
  </si>
  <si>
    <t xml:space="preserve">C1 LMS</t>
  </si>
  <si>
    <t xml:space="preserve">Hiện trường giao bài, học online, kiểm tra bằng hệ thống gì? Ai quản trị? Hợp đồng với nhà cung cấp đến khi nào?</t>
  </si>
  <si>
    <t xml:space="preserve">Chưa có hệ thống, hoặc dùng Google Classroom/Zalo; hợp đồng cũ sắp hết; không hài lòng</t>
  </si>
  <si>
    <t xml:space="preserve">C1 / C10</t>
  </si>
  <si>
    <t xml:space="preserve">Trường có tổ CNTT không, mấy người? Giảng viên đã quen dạy online chưa?</t>
  </si>
  <si>
    <t xml:space="preserve">Có 2–3 người CNTT, giảng viên đã dạy online (đủ năng lực triển khai)</t>
  </si>
  <si>
    <t xml:space="preserve">C2 Mô phỏng</t>
  </si>
  <si>
    <t xml:space="preserve">Mô-đun thực hành nào hay thiếu thiết bị, hỏng thiết bị hoặc tốn vật tư nhất?</t>
  </si>
  <si>
    <t xml:space="preserve">Kể ra được mô-đun cụ thể, có số liệu chi phí vật tư</t>
  </si>
  <si>
    <t xml:space="preserve">C3 Ngoại ngữ</t>
  </si>
  <si>
    <t xml:space="preserve">Chuẩn đầu ra ngoại ngữ hiện nay là gì? Tỷ lệ SV đạt? Có chương trình đưa SV làm việc ở nước ngoài, hợp tác Hàn/Nhật/Đức không?</t>
  </si>
  <si>
    <t xml:space="preserve">Tỷ lệ đạt thấp; có liên kết nước ngoài; có kế hoạch theo QĐ 2371</t>
  </si>
  <si>
    <t xml:space="preserve">C4 Học liệu</t>
  </si>
  <si>
    <t xml:space="preserve">Trường có bao nhiêu giáo trình, bài giảng? Đang ở dạng giấy, Word hay PDF? Đã có kế hoạch số hóa chưa?</t>
  </si>
  <si>
    <t xml:space="preserve">Học liệu chủ yếu giấy/PDF; có kế hoạch nhưng chưa có đơn vị làm; vừa gộp nhiều bộ</t>
  </si>
  <si>
    <t xml:space="preserve">C5 Quy mô</t>
  </si>
  <si>
    <t xml:space="preserve">Trường có bao nhiêu HSSV, bao nhiêu nghề/ngành, bao nhiêu giảng viên?</t>
  </si>
  <si>
    <t xml:space="preserve">Trên 2.000 HSSV, nhiều ngành</t>
  </si>
  <si>
    <t xml:space="preserve">C6 Tài chính</t>
  </si>
  <si>
    <t xml:space="preserve">Kinh phí cho chuyển đổi số lấy từ đâu (ngân sách, nguồn thu sự nghiệp, chủ đầu tư)? Kế hoạch và dự toán 2027 đã chốt chưa? Trường thường mua theo hình thức nào (mua sắm, thuê dịch vụ CNTT)? Mức nào trường tự quyết được?</t>
  </si>
  <si>
    <t xml:space="preserve">Có nguồn thu tự chủ; dự toán 2027 còn mở; trường quen thuê dịch vụ</t>
  </si>
  <si>
    <t xml:space="preserve">C7 Kích hoạt</t>
  </si>
  <si>
    <t xml:space="preserve">Năm học tới trường có mục tiêu lớn nào: kiểm định, trường chất lượng cao, mở ngành mới, hoàn thiện sau sáp nhập?</t>
  </si>
  <si>
    <t xml:space="preserve">Có mốc thời gian cụ thể trong 6–12 tháng</t>
  </si>
  <si>
    <t xml:space="preserve">C8 Tiếp cận</t>
  </si>
  <si>
    <t xml:space="preserve">Ngoài anh/chị, ai sẽ tham gia quyết định? Ai là người quyết cuối cùng?</t>
  </si>
  <si>
    <t xml:space="preserve">Được giới thiệu gặp người quyết định</t>
  </si>
  <si>
    <t xml:space="preserve">C11 Tham chiếu</t>
  </si>
  <si>
    <t xml:space="preserve">Trường có thuộc mạng lưới, hiệp hội hay cùng chủ quản với trường nào khác? Có sẵn sàng làm case hoặc đồng tổ chức hội thảo không?</t>
  </si>
  <si>
    <t xml:space="preserve">Sẵn sàng chia sẻ kết quả, giới thiệu trường khác</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</si>
</sst>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18">
    <font>
      <sz val="11"/>
      <color theme="1"/>
      <name val="Calibri"/>
      <family val="2"/>
      <charset val="1"/>
    </font>
    <font>
      <sz val="10"/>
      <name val="Arial"/>
      <family val="0"/>
    </font>
    <font>
      <sz val="10"/>
      <name val="Arial"/>
      <family val="0"/>
    </font>
    <font>
      <sz val="10"/>
      <name val="Arial"/>
      <family val="0"/>
    </font>
    <font>
      <b val="true"/>
      <sz val="15"/>
      <color rgb="FF1F4E5F"/>
      <name val="Arial"/>
      <family val="0"/>
      <charset val="1"/>
    </font>
    <font>
      <i val="true"/>
      <sz val="10"/>
      <color rgb="FF555555"/>
      <name val="Arial"/>
      <family val="0"/>
      <charset val="1"/>
    </font>
    <font>
      <b val="true"/>
      <sz val="10"/>
      <color rgb="FFFFFFFF"/>
      <name val="Arial"/>
      <family val="0"/>
      <charset val="1"/>
    </font>
    <font>
      <sz val="10"/>
      <color rgb="FF000000"/>
      <name val="Arial"/>
      <family val="0"/>
      <charset val="1"/>
    </font>
    <font>
      <i val="true"/>
      <sz val="9"/>
      <color rgb="FF555555"/>
      <name val="Arial"/>
      <family val="0"/>
      <charset val="1"/>
    </font>
    <font>
      <b val="true"/>
      <sz val="10"/>
      <color rgb="FF000000"/>
      <name val="Arial"/>
      <family val="0"/>
      <charset val="1"/>
    </font>
    <font>
      <b val="true"/>
      <sz val="12"/>
      <color rgb="FF1F4E5F"/>
      <name val="Arial"/>
      <family val="0"/>
      <charset val="1"/>
    </font>
    <font>
      <sz val="10"/>
      <color rgb="FF0000FF"/>
      <name val="Arial"/>
      <family val="0"/>
      <charset val="1"/>
    </font>
    <font>
      <b val="true"/>
      <sz val="10"/>
      <color rgb="FF0000FF"/>
      <name val="Arial"/>
      <family val="0"/>
      <charset val="1"/>
    </font>
    <font>
      <b val="true"/>
      <sz val="10"/>
      <color rgb="FF1F4E5F"/>
      <name val="Arial"/>
      <family val="0"/>
      <charset val="1"/>
    </font>
    <font>
      <b val="true"/>
      <sz val="10"/>
      <color rgb="FF008000"/>
      <name val="Arial"/>
      <family val="0"/>
      <charset val="1"/>
    </font>
    <font>
      <sz val="9"/>
      <color rgb="FF000000"/>
      <name val="Arial"/>
      <family val="0"/>
      <charset val="1"/>
    </font>
    <font>
      <sz val="10"/>
      <name val="Arial"/>
      <family val="2"/>
    </font>
    <font>
      <i val="true"/>
      <sz val="10"/>
      <color rgb="FF808080"/>
      <name val="Arial"/>
      <family val="0"/>
      <charset val="1"/>
    </font>
  </fonts>
  <fills count="7">
    <fill>
      <patternFill patternType="none"/>
    </fill>
    <fill>
      <patternFill patternType="gray125"/>
    </fill>
    <fill>
      <patternFill patternType="solid">
        <fgColor rgb="FF1F4E5F"/>
        <bgColor rgb="FF333333"/>
      </patternFill>
    </fill>
    <fill>
      <patternFill patternType="solid">
        <fgColor rgb="FFEEF3F5"/>
        <bgColor rgb="FFEDEDED"/>
      </patternFill>
    </fill>
    <fill>
      <patternFill patternType="solid">
        <fgColor rgb="FFFFF2CC"/>
        <bgColor rgb="FFFCE4D6"/>
      </patternFill>
    </fill>
    <fill>
      <patternFill patternType="solid">
        <fgColor rgb="FFFFD966"/>
        <bgColor rgb="FFF8CBAD"/>
      </patternFill>
    </fill>
    <fill>
      <patternFill patternType="solid">
        <fgColor rgb="FFDCE8EC"/>
        <bgColor rgb="FFDDEBF7"/>
      </patternFill>
    </fill>
  </fills>
  <borders count="2">
    <border diagonalUp="false" diagonalDown="false">
      <left/>
      <right/>
      <top/>
      <bottom/>
      <diagonal/>
    </border>
    <border diagonalUp="false" diagonalDown="false">
      <left style="thin">
        <color rgb="FFC9D3D8"/>
      </left>
      <right style="thin">
        <color rgb="FFC9D3D8"/>
      </right>
      <top style="thin">
        <color rgb="FFC9D3D8"/>
      </top>
      <bottom style="thin">
        <color rgb="FFC9D3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6" fontId="7" fillId="3"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center" vertical="top" textRotation="0" wrapText="true" indent="0" shrinkToFit="false"/>
      <protection locked="true" hidden="false"/>
    </xf>
    <xf numFmtId="164" fontId="12" fillId="4"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5" fontId="14" fillId="6" borderId="0" xfId="0" applyFont="true" applyBorder="false" applyAlignment="true" applyProtection="false">
      <alignment horizontal="center" vertical="top" textRotation="0" wrapText="true" indent="0" shrinkToFit="false"/>
      <protection locked="true" hidden="false"/>
    </xf>
    <xf numFmtId="165" fontId="9"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7" fontId="11"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1">
    <dxf>
      <fill>
        <patternFill patternType="solid">
          <fgColor rgb="FF1F4E5F"/>
          <bgColor rgb="FF000000"/>
        </patternFill>
      </fill>
    </dxf>
    <dxf>
      <fill>
        <patternFill patternType="solid">
          <fgColor rgb="FFEEF3F5"/>
          <bgColor rgb="FF000000"/>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D966"/>
          <bgColor rgb="FF000000"/>
        </patternFill>
      </fill>
    </dxf>
    <dxf>
      <fill>
        <patternFill patternType="solid">
          <fgColor rgb="FFA9D08E"/>
          <bgColor rgb="FF000000"/>
        </patternFill>
      </fill>
    </dxf>
    <dxf>
      <fill>
        <patternFill patternType="solid">
          <fgColor rgb="FFAED292"/>
          <bgColor rgb="FF000000"/>
        </patternFill>
      </fill>
    </dxf>
    <dxf>
      <fill>
        <patternFill patternType="solid">
          <fgColor rgb="FFC9DDA5"/>
          <bgColor rgb="FF000000"/>
        </patternFill>
      </fill>
    </dxf>
    <dxf>
      <fill>
        <patternFill patternType="solid">
          <fgColor rgb="FFCADDA6"/>
          <bgColor rgb="FF000000"/>
        </patternFill>
      </fill>
    </dxf>
    <dxf>
      <fill>
        <patternFill patternType="solid">
          <fgColor rgb="FFD0E0AA"/>
          <bgColor rgb="FF000000"/>
        </patternFill>
      </fill>
    </dxf>
    <dxf>
      <fill>
        <patternFill patternType="solid">
          <fgColor rgb="FFD7E2AF"/>
          <bgColor rgb="FF000000"/>
        </patternFill>
      </fill>
    </dxf>
    <dxf>
      <fill>
        <patternFill patternType="solid">
          <fgColor rgb="FFD9E3B1"/>
          <bgColor rgb="FF000000"/>
        </patternFill>
      </fill>
    </dxf>
    <dxf>
      <fill>
        <patternFill patternType="solid">
          <fgColor rgb="FFDEE5B4"/>
          <bgColor rgb="FF000000"/>
        </patternFill>
      </fill>
    </dxf>
    <dxf>
      <fill>
        <patternFill patternType="solid">
          <fgColor rgb="FFDFE6B5"/>
          <bgColor rgb="FF000000"/>
        </patternFill>
      </fill>
    </dxf>
    <dxf>
      <fill>
        <patternFill patternType="solid">
          <fgColor rgb="FFE2E7B7"/>
          <bgColor rgb="FF000000"/>
        </patternFill>
      </fill>
    </dxf>
    <dxf>
      <fill>
        <patternFill patternType="solid">
          <fgColor rgb="FFE3E7B8"/>
          <bgColor rgb="FF000000"/>
        </patternFill>
      </fill>
    </dxf>
    <dxf>
      <fill>
        <patternFill patternType="solid">
          <fgColor rgb="FFE5E8B9"/>
          <bgColor rgb="FF000000"/>
        </patternFill>
      </fill>
    </dxf>
    <dxf>
      <fill>
        <patternFill patternType="solid">
          <fgColor rgb="FFE6E8BA"/>
          <bgColor rgb="FF000000"/>
        </patternFill>
      </fill>
    </dxf>
    <dxf>
      <fill>
        <patternFill patternType="solid">
          <fgColor rgb="FFEAEABD"/>
          <bgColor rgb="FF000000"/>
        </patternFill>
      </fill>
    </dxf>
    <dxf>
      <fill>
        <patternFill patternType="solid">
          <fgColor rgb="FFEDEBBF"/>
          <bgColor rgb="FF000000"/>
        </patternFill>
      </fill>
    </dxf>
    <dxf>
      <fill>
        <patternFill patternType="solid">
          <fgColor rgb="FFEFECC0"/>
          <bgColor rgb="FF000000"/>
        </patternFill>
      </fill>
    </dxf>
    <dxf>
      <fill>
        <patternFill patternType="solid">
          <fgColor rgb="FFF3EDC3"/>
          <bgColor rgb="FF000000"/>
        </patternFill>
      </fill>
    </dxf>
    <dxf>
      <fill>
        <patternFill patternType="solid">
          <fgColor rgb="FFF4EEC4"/>
          <bgColor rgb="FF000000"/>
        </patternFill>
      </fill>
    </dxf>
    <dxf>
      <fill>
        <patternFill patternType="solid">
          <fgColor rgb="FFF7EFC6"/>
          <bgColor rgb="FF000000"/>
        </patternFill>
      </fill>
    </dxf>
    <dxf>
      <fill>
        <patternFill patternType="solid">
          <fgColor rgb="FFF8CBAD"/>
          <bgColor rgb="FF000000"/>
        </patternFill>
      </fill>
    </dxf>
    <dxf>
      <fill>
        <patternFill patternType="solid">
          <fgColor rgb="FFF8F0C7"/>
          <bgColor rgb="FF000000"/>
        </patternFill>
      </fill>
    </dxf>
    <dxf>
      <fill>
        <patternFill patternType="solid">
          <fgColor rgb="FFF9D3B3"/>
          <bgColor rgb="FF000000"/>
        </patternFill>
      </fill>
    </dxf>
    <dxf>
      <fill>
        <patternFill patternType="solid">
          <fgColor rgb="FFF9D5B5"/>
          <bgColor rgb="FF000000"/>
        </patternFill>
      </fill>
    </dxf>
    <dxf>
      <fill>
        <patternFill patternType="solid">
          <fgColor rgb="FFFAD7B6"/>
          <bgColor rgb="FF000000"/>
        </patternFill>
      </fill>
    </dxf>
    <dxf>
      <fill>
        <patternFill patternType="solid">
          <fgColor rgb="FFFAD7B7"/>
          <bgColor rgb="FF000000"/>
        </patternFill>
      </fill>
    </dxf>
    <dxf>
      <fill>
        <patternFill patternType="solid">
          <fgColor rgb="FFFAD9B8"/>
          <bgColor rgb="FF000000"/>
        </patternFill>
      </fill>
    </dxf>
    <dxf>
      <fill>
        <patternFill patternType="solid">
          <fgColor rgb="FFFADAB9"/>
          <bgColor rgb="FF000000"/>
        </patternFill>
      </fill>
    </dxf>
    <dxf>
      <fill>
        <patternFill patternType="solid">
          <fgColor rgb="FFFAF0C8"/>
          <bgColor rgb="FF000000"/>
        </patternFill>
      </fill>
    </dxf>
    <dxf>
      <fill>
        <patternFill patternType="solid">
          <fgColor rgb="FFFBDCBA"/>
          <bgColor rgb="FF000000"/>
        </patternFill>
      </fill>
    </dxf>
    <dxf>
      <fill>
        <patternFill patternType="solid">
          <fgColor rgb="FFFBE0BE"/>
          <bgColor rgb="FF000000"/>
        </patternFill>
      </fill>
    </dxf>
    <dxf>
      <fill>
        <patternFill patternType="solid">
          <fgColor rgb="FFFBE1BE"/>
          <bgColor rgb="FF000000"/>
        </patternFill>
      </fill>
    </dxf>
    <dxf>
      <fill>
        <patternFill patternType="solid">
          <fgColor rgb="FFFCE2BF"/>
          <bgColor rgb="FF000000"/>
        </patternFill>
      </fill>
    </dxf>
    <dxf>
      <fill>
        <patternFill patternType="solid">
          <fgColor rgb="FFFCE3C0"/>
          <bgColor rgb="FF000000"/>
        </patternFill>
      </fill>
    </dxf>
    <dxf>
      <fill>
        <patternFill patternType="solid">
          <fgColor rgb="FFFCE4C1"/>
          <bgColor rgb="FF000000"/>
        </patternFill>
      </fill>
    </dxf>
    <dxf>
      <fill>
        <patternFill patternType="solid">
          <fgColor rgb="FFFCE5C2"/>
          <bgColor rgb="FF000000"/>
        </patternFill>
      </fill>
    </dxf>
    <dxf>
      <fill>
        <patternFill patternType="solid">
          <fgColor rgb="FFFCE6C2"/>
          <bgColor rgb="FF000000"/>
        </patternFill>
      </fill>
    </dxf>
    <dxf>
      <fill>
        <patternFill patternType="solid">
          <fgColor rgb="FFFCE6C3"/>
          <bgColor rgb="FF000000"/>
        </patternFill>
      </fill>
    </dxf>
    <dxf>
      <fill>
        <patternFill patternType="solid">
          <fgColor rgb="FFFDE7C3"/>
          <bgColor rgb="FF000000"/>
        </patternFill>
      </fill>
    </dxf>
    <dxf>
      <fill>
        <patternFill patternType="solid">
          <fgColor rgb="FFFDE7C4"/>
          <bgColor rgb="FF000000"/>
        </patternFill>
      </fill>
    </dxf>
    <dxf>
      <fill>
        <patternFill patternType="solid">
          <fgColor rgb="FFFDE9C4"/>
          <bgColor rgb="FF000000"/>
        </patternFill>
      </fill>
    </dxf>
    <dxf>
      <fill>
        <patternFill patternType="solid">
          <fgColor rgb="FFFDEAC6"/>
          <bgColor rgb="FF000000"/>
        </patternFill>
      </fill>
    </dxf>
    <dxf>
      <fill>
        <patternFill patternType="solid">
          <fgColor rgb="FFFDEBC6"/>
          <bgColor rgb="FF000000"/>
        </patternFill>
      </fill>
    </dxf>
    <dxf>
      <fill>
        <patternFill patternType="solid">
          <fgColor rgb="FFFDEBC7"/>
          <bgColor rgb="FF000000"/>
        </patternFill>
      </fill>
    </dxf>
    <dxf>
      <fill>
        <patternFill patternType="solid">
          <fgColor rgb="FFFDF1CA"/>
          <bgColor rgb="FF000000"/>
        </patternFill>
      </fill>
    </dxf>
    <dxf>
      <fill>
        <patternFill patternType="solid">
          <fgColor rgb="FFFEECC7"/>
          <bgColor rgb="FF000000"/>
        </patternFill>
      </fill>
    </dxf>
    <dxf>
      <fill>
        <patternFill patternType="solid">
          <fgColor rgb="FFFEEDC8"/>
          <bgColor rgb="FF000000"/>
        </patternFill>
      </fill>
    </dxf>
    <dxf>
      <fill>
        <patternFill patternType="solid">
          <fgColor rgb="FFFEEEC9"/>
          <bgColor rgb="FF000000"/>
        </patternFill>
      </fill>
    </dxf>
    <dxf>
      <fill>
        <patternFill patternType="solid">
          <fgColor rgb="FFFEEFC9"/>
          <bgColor rgb="FF000000"/>
        </patternFill>
      </fill>
    </dxf>
    <dxf>
      <fill>
        <patternFill patternType="solid">
          <fgColor rgb="FFFEF0CA"/>
          <bgColor rgb="FF000000"/>
        </patternFill>
      </fill>
    </dxf>
    <dxf>
      <fill>
        <patternFill patternType="solid">
          <fgColor rgb="FFFEF1CB"/>
          <bgColor rgb="FF000000"/>
        </patternFill>
      </fill>
    </dxf>
    <dxf>
      <fill>
        <patternFill patternType="solid">
          <fgColor rgb="FFFEF2CB"/>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4E1F7"/>
          <bgColor rgb="FF000000"/>
        </patternFill>
      </fill>
    </dxf>
    <dxf>
      <fill>
        <patternFill patternType="solid">
          <fgColor rgb="FFFCE4D6"/>
          <bgColor rgb="FF000000"/>
        </patternFill>
      </fill>
    </dxf>
    <dxf>
      <fill>
        <patternFill>
          <bgColor rgb="FFA9D08E"/>
        </patternFill>
      </fill>
    </dxf>
    <dxf>
      <fill>
        <patternFill>
          <bgColor rgb="FFDDEBF7"/>
        </patternFill>
      </fill>
    </dxf>
    <dxf>
      <fill>
        <patternFill>
          <bgColor rgb="FFEDEDED"/>
        </patternFill>
      </fill>
    </dxf>
    <dxf>
      <fill>
        <patternFill>
          <bgColor rgb="FFF4E1F7"/>
        </patternFill>
      </fill>
    </dxf>
    <dxf>
      <fill>
        <patternFill>
          <bgColor rgb="FFF8CBAD"/>
        </patternFill>
      </fill>
    </dxf>
    <dxf>
      <fill>
        <patternFill>
          <bgColor rgb="FFC6E0B4"/>
        </patternFill>
      </fill>
    </dxf>
    <dxf>
      <fill>
        <patternFill>
          <bgColor rgb="FFFCE4D6"/>
        </patternFill>
      </fill>
    </dxf>
    <dxf>
      <fill>
        <patternFill patternType="solid">
          <fgColor rgb="FF80808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FF2CC"/>
      <rgbColor rgb="FFDDEBF7"/>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DCE8EC"/>
      <rgbColor rgb="FFEEF3F5"/>
      <rgbColor rgb="FFFCE4D6"/>
      <rgbColor rgb="FFC6E0B4"/>
      <rgbColor rgb="FFF4E1F7"/>
      <rgbColor rgb="FFEDEDED"/>
      <rgbColor rgb="FFF8CBAD"/>
      <rgbColor rgb="FF3366FF"/>
      <rgbColor rgb="FF33CCCC"/>
      <rgbColor rgb="FF99CC00"/>
      <rgbColor rgb="FFFFD966"/>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2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15" hidden="false" customHeight="false" outlineLevel="0" collapsed="false">
      <c r="B5" s="4" t="s">
        <v>3</v>
      </c>
    </row>
    <row r="6" customFormat="false" ht="15" hidden="false" customHeight="false" outlineLevel="0" collapsed="false">
      <c r="B6" s="4" t="s">
        <v>4</v>
      </c>
    </row>
    <row r="8" customFormat="false" ht="15" hidden="false" customHeight="false" outlineLevel="0" collapsed="false">
      <c r="B8" s="3" t="s">
        <v>5</v>
      </c>
    </row>
    <row r="9" customFormat="false" ht="15" hidden="false" customHeight="false" outlineLevel="0" collapsed="false">
      <c r="B9" s="4" t="s">
        <v>6</v>
      </c>
    </row>
    <row r="10" customFormat="false" ht="23.85" hidden="false" customHeight="false" outlineLevel="0" collapsed="false">
      <c r="B10" s="4" t="s">
        <v>7</v>
      </c>
    </row>
    <row r="11" customFormat="false" ht="15" hidden="false" customHeight="false" outlineLevel="0" collapsed="false">
      <c r="B11" s="4" t="s">
        <v>8</v>
      </c>
    </row>
    <row r="12" customFormat="false" ht="15" hidden="false" customHeight="false" outlineLevel="0" collapsed="false">
      <c r="B12" s="4" t="s">
        <v>9</v>
      </c>
    </row>
    <row r="13" customFormat="false" ht="15" hidden="false" customHeight="false" outlineLevel="0" collapsed="false">
      <c r="B13" s="4" t="s">
        <v>10</v>
      </c>
    </row>
    <row r="15" customFormat="false" ht="15" hidden="false" customHeight="false" outlineLevel="0" collapsed="false">
      <c r="B15" s="3" t="s">
        <v>11</v>
      </c>
    </row>
    <row r="16" customFormat="false" ht="15" hidden="false" customHeight="false" outlineLevel="0" collapsed="false">
      <c r="B16" s="4" t="s">
        <v>12</v>
      </c>
    </row>
    <row r="17" customFormat="false" ht="15" hidden="false" customHeight="false" outlineLevel="0" collapsed="false">
      <c r="B17" s="4" t="s">
        <v>13</v>
      </c>
    </row>
    <row r="18" customFormat="false" ht="23.85" hidden="false" customHeight="false" outlineLevel="0" collapsed="false">
      <c r="B18" s="4" t="s">
        <v>14</v>
      </c>
    </row>
    <row r="19" customFormat="false" ht="15" hidden="false" customHeight="false" outlineLevel="0" collapsed="false">
      <c r="B19" s="4" t="s">
        <v>15</v>
      </c>
    </row>
    <row r="21" customFormat="false" ht="15" hidden="false" customHeight="false" outlineLevel="0" collapsed="false">
      <c r="B21" s="3" t="s">
        <v>16</v>
      </c>
    </row>
    <row r="22" customFormat="false" ht="35.05" hidden="false" customHeight="false" outlineLevel="0" collapsed="false">
      <c r="B22" s="4" t="s">
        <v>17</v>
      </c>
    </row>
    <row r="23" customFormat="false" ht="22.35" hidden="false" customHeight="false" outlineLevel="0" collapsed="false">
      <c r="B23" s="5" t="s">
        <v>18</v>
      </c>
    </row>
    <row r="24" customFormat="false" ht="23.85" hidden="false" customHeight="false" outlineLevel="0" collapsed="false">
      <c r="B24" s="4" t="s">
        <v>19</v>
      </c>
    </row>
    <row r="25" customFormat="false" ht="15" hidden="false" customHeight="false" outlineLevel="0" collapsed="false">
      <c r="B25" s="5" t="s">
        <v>20</v>
      </c>
    </row>
    <row r="26" customFormat="false" ht="35.05" hidden="false" customHeight="false" outlineLevel="0" collapsed="false">
      <c r="B26" s="4" t="s">
        <v>21</v>
      </c>
    </row>
    <row r="27" customFormat="false" ht="15" hidden="false" customHeight="false" outlineLevel="0" collapsed="false">
      <c r="B27" s="5" t="s">
        <v>22</v>
      </c>
    </row>
    <row r="29" customFormat="false" ht="15" hidden="false" customHeight="false" outlineLevel="0" collapsed="false">
      <c r="B29" s="3" t="s">
        <v>23</v>
      </c>
    </row>
    <row r="30" customFormat="false" ht="15" hidden="false" customHeight="false" outlineLevel="0" collapsed="false">
      <c r="B30" s="4" t="s">
        <v>24</v>
      </c>
    </row>
    <row r="31" customFormat="false" ht="23.85" hidden="false" customHeight="false" outlineLevel="0" collapsed="false">
      <c r="B31" s="4" t="s">
        <v>25</v>
      </c>
    </row>
    <row r="32" customFormat="false" ht="23.85" hidden="false" customHeight="false" outlineLevel="0" collapsed="false">
      <c r="B32" s="4" t="s">
        <v>26</v>
      </c>
    </row>
    <row r="33" customFormat="false" ht="15" hidden="false" customHeight="false" outlineLevel="0" collapsed="false">
      <c r="B33" s="4" t="s">
        <v>27</v>
      </c>
    </row>
    <row r="34" customFormat="false" ht="23.85" hidden="false" customHeight="false" outlineLevel="0" collapsed="false">
      <c r="B34" s="4" t="s">
        <v>28</v>
      </c>
    </row>
    <row r="36" customFormat="false" ht="15" hidden="false" customHeight="false" outlineLevel="0" collapsed="false">
      <c r="B36" s="3" t="s">
        <v>29</v>
      </c>
    </row>
    <row r="37" customFormat="false" ht="35.05" hidden="false" customHeight="false" outlineLevel="0" collapsed="false">
      <c r="B37" s="4" t="s">
        <v>30</v>
      </c>
    </row>
    <row r="38" customFormat="false" ht="35.05" hidden="false" customHeight="false" outlineLevel="0" collapsed="false">
      <c r="B38" s="4" t="s">
        <v>31</v>
      </c>
    </row>
    <row r="39" customFormat="false" ht="35.05" hidden="false" customHeight="false" outlineLevel="0" collapsed="false">
      <c r="B39" s="4" t="s">
        <v>32</v>
      </c>
    </row>
    <row r="40" customFormat="false" ht="23.85" hidden="false" customHeight="false" outlineLevel="0" collapsed="false">
      <c r="B40" s="4" t="s">
        <v>33</v>
      </c>
    </row>
    <row r="41" customFormat="false" ht="23.85" hidden="false" customHeight="false" outlineLevel="0" collapsed="false">
      <c r="B41" s="4"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24"/>
    <col collapsed="false" customWidth="true" hidden="false" outlineLevel="0" max="4" min="4" style="0" width="44"/>
    <col collapsed="false" customWidth="true" hidden="false" outlineLevel="0" max="5" min="5" style="0" width="80"/>
  </cols>
  <sheetData>
    <row r="1" customFormat="false" ht="18.55" hidden="false" customHeight="false" outlineLevel="0" collapsed="false">
      <c r="A1" s="1" t="s">
        <v>35</v>
      </c>
    </row>
    <row r="2" customFormat="false" ht="15" hidden="false" customHeight="false" outlineLevel="0" collapsed="false">
      <c r="A2" s="2" t="s">
        <v>36</v>
      </c>
    </row>
    <row r="4" customFormat="false" ht="23.85" hidden="false" customHeight="false" outlineLevel="0" collapsed="false">
      <c r="A4" s="6" t="s">
        <v>37</v>
      </c>
      <c r="B4" s="6" t="s">
        <v>38</v>
      </c>
      <c r="C4" s="6" t="s">
        <v>39</v>
      </c>
      <c r="D4" s="6" t="s">
        <v>40</v>
      </c>
      <c r="E4" s="6" t="s">
        <v>41</v>
      </c>
    </row>
    <row r="5" customFormat="false" ht="61.5" hidden="false" customHeight="true" outlineLevel="0" collapsed="false">
      <c r="A5" s="7" t="s">
        <v>42</v>
      </c>
      <c r="B5" s="8" t="n">
        <f aca="false">COUNTIF('Chấm điểm'!$W$5:$W$101,"Đợt 1*")</f>
        <v>16</v>
      </c>
      <c r="C5" s="9" t="s">
        <v>43</v>
      </c>
      <c r="D5" s="9" t="s">
        <v>44</v>
      </c>
      <c r="E5" s="9" t="s">
        <v>45</v>
      </c>
    </row>
    <row r="6" customFormat="false" ht="61.5" hidden="false" customHeight="true" outlineLevel="0" collapsed="false">
      <c r="A6" s="7" t="s">
        <v>46</v>
      </c>
      <c r="B6" s="8" t="n">
        <f aca="false">COUNTIF('Chấm điểm'!$W$5:$W$101,"Đợt 2*")</f>
        <v>36</v>
      </c>
      <c r="C6" s="9" t="s">
        <v>47</v>
      </c>
      <c r="D6" s="9" t="s">
        <v>48</v>
      </c>
      <c r="E6" s="9" t="s">
        <v>49</v>
      </c>
    </row>
    <row r="7" customFormat="false" ht="61.5" hidden="false" customHeight="true" outlineLevel="0" collapsed="false">
      <c r="A7" s="7" t="s">
        <v>50</v>
      </c>
      <c r="B7" s="8" t="n">
        <f aca="false">COUNTIF('Chấm điểm'!$W$5:$W$101,"Đợt 3*")</f>
        <v>41</v>
      </c>
      <c r="C7" s="9" t="s">
        <v>51</v>
      </c>
      <c r="D7" s="9" t="s">
        <v>52</v>
      </c>
      <c r="E7" s="9" t="s">
        <v>53</v>
      </c>
    </row>
    <row r="8" customFormat="false" ht="61.5" hidden="false" customHeight="true" outlineLevel="0" collapsed="false">
      <c r="A8" s="7" t="s">
        <v>54</v>
      </c>
      <c r="B8" s="8" t="n">
        <f aca="false">COUNTIF('Chấm điểm'!$W$5:$W$101,"Đợt 4*")</f>
        <v>4</v>
      </c>
      <c r="C8" s="9" t="s">
        <v>55</v>
      </c>
      <c r="D8" s="9" t="s">
        <v>56</v>
      </c>
      <c r="E8" s="9" t="s">
        <v>57</v>
      </c>
    </row>
    <row r="10" customFormat="false" ht="15" hidden="false" customHeight="false" outlineLevel="0" collapsed="false">
      <c r="A10" s="10" t="s">
        <v>58</v>
      </c>
    </row>
    <row r="11" customFormat="false" ht="15" hidden="false" customHeight="false" outlineLevel="0" collapsed="false">
      <c r="A11" s="6" t="s">
        <v>59</v>
      </c>
      <c r="B11" s="6" t="s">
        <v>60</v>
      </c>
      <c r="C11" s="6" t="s">
        <v>61</v>
      </c>
      <c r="D11" s="6" t="s">
        <v>62</v>
      </c>
      <c r="E11" s="6" t="s">
        <v>63</v>
      </c>
    </row>
    <row r="12" customFormat="false" ht="105" hidden="false" customHeight="true" outlineLevel="0" collapsed="false">
      <c r="A12" s="7" t="s">
        <v>64</v>
      </c>
      <c r="B12" s="9" t="s">
        <v>65</v>
      </c>
      <c r="C12" s="9" t="s">
        <v>66</v>
      </c>
      <c r="D12" s="9" t="s">
        <v>67</v>
      </c>
      <c r="E12" s="9" t="s">
        <v>68</v>
      </c>
    </row>
    <row r="13" customFormat="false" ht="75" hidden="false" customHeight="true" outlineLevel="0" collapsed="false">
      <c r="A13" s="7" t="s">
        <v>69</v>
      </c>
      <c r="B13" s="9" t="s">
        <v>70</v>
      </c>
      <c r="C13" s="9" t="s">
        <v>71</v>
      </c>
      <c r="D13" s="9" t="s">
        <v>72</v>
      </c>
      <c r="E13" s="9" t="s">
        <v>73</v>
      </c>
    </row>
    <row r="14" customFormat="false" ht="45" hidden="false" customHeight="true" outlineLevel="0" collapsed="false">
      <c r="A14" s="7" t="s">
        <v>74</v>
      </c>
      <c r="B14" s="9" t="s">
        <v>75</v>
      </c>
      <c r="C14" s="9" t="s">
        <v>76</v>
      </c>
      <c r="D14" s="9" t="s">
        <v>77</v>
      </c>
      <c r="E14" s="9" t="s">
        <v>78</v>
      </c>
    </row>
    <row r="15" customFormat="false" ht="45" hidden="false" customHeight="true" outlineLevel="0" collapsed="false">
      <c r="A15" s="7" t="s">
        <v>79</v>
      </c>
      <c r="B15" s="9" t="s">
        <v>80</v>
      </c>
      <c r="C15" s="9" t="s">
        <v>81</v>
      </c>
      <c r="D15" s="9" t="s">
        <v>82</v>
      </c>
      <c r="E15" s="9" t="s">
        <v>83</v>
      </c>
    </row>
    <row r="16" customFormat="false" ht="45" hidden="false" customHeight="true" outlineLevel="0" collapsed="false">
      <c r="A16" s="7" t="s">
        <v>84</v>
      </c>
      <c r="B16" s="9" t="s">
        <v>85</v>
      </c>
      <c r="C16" s="9" t="s">
        <v>86</v>
      </c>
      <c r="D16" s="9" t="s">
        <v>87</v>
      </c>
      <c r="E16" s="9" t="s">
        <v>88</v>
      </c>
    </row>
    <row r="17" customFormat="false" ht="45" hidden="false" customHeight="true" outlineLevel="0" collapsed="false">
      <c r="A17" s="7" t="s">
        <v>89</v>
      </c>
      <c r="B17" s="9" t="s">
        <v>90</v>
      </c>
      <c r="C17" s="9" t="s">
        <v>91</v>
      </c>
      <c r="D17" s="9" t="s">
        <v>92</v>
      </c>
      <c r="E17" s="9" t="s">
        <v>93</v>
      </c>
    </row>
    <row r="19" customFormat="false" ht="15" hidden="false" customHeight="false" outlineLevel="0" collapsed="false">
      <c r="A19" s="10" t="s">
        <v>94</v>
      </c>
    </row>
    <row r="20" customFormat="false" ht="23.85" hidden="false" customHeight="false" outlineLevel="0" collapsed="false">
      <c r="A20" s="6" t="s">
        <v>59</v>
      </c>
      <c r="B20" s="6" t="s">
        <v>95</v>
      </c>
      <c r="C20" s="6" t="s">
        <v>96</v>
      </c>
      <c r="D20" s="6" t="s">
        <v>97</v>
      </c>
      <c r="E20" s="6" t="s">
        <v>98</v>
      </c>
    </row>
    <row r="21" customFormat="false" ht="15" hidden="false" customHeight="false" outlineLevel="0" collapsed="false">
      <c r="A21" s="7" t="s">
        <v>99</v>
      </c>
      <c r="B21" s="8" t="n">
        <f aca="false">COUNTA(Pipeline!$A$6:$A$97)</f>
        <v>52</v>
      </c>
      <c r="C21" s="11"/>
      <c r="D21" s="8"/>
      <c r="E21" s="9" t="s">
        <v>100</v>
      </c>
    </row>
    <row r="22" customFormat="false" ht="15" hidden="false" customHeight="false" outlineLevel="0" collapsed="false">
      <c r="A22" s="7" t="s">
        <v>101</v>
      </c>
      <c r="B22" s="8" t="n">
        <f aca="false">COUNTIFS(Pipeline!$O$6:$O$97,"&gt;="&amp;2,Pipeline!$O$6:$O$97,"&lt;8")</f>
        <v>0</v>
      </c>
      <c r="C22" s="11" t="n">
        <v>40</v>
      </c>
      <c r="D22" s="12" t="n">
        <f aca="false">IF(C22=0,"",B22/C22)</f>
        <v>0</v>
      </c>
      <c r="E22" s="9" t="s">
        <v>102</v>
      </c>
    </row>
    <row r="23" customFormat="false" ht="15" hidden="false" customHeight="false" outlineLevel="0" collapsed="false">
      <c r="A23" s="7" t="s">
        <v>103</v>
      </c>
      <c r="B23" s="8" t="n">
        <f aca="false">COUNTIFS(Pipeline!$O$6:$O$97,"&gt;="&amp;3,Pipeline!$O$6:$O$97,"&lt;8")</f>
        <v>0</v>
      </c>
      <c r="C23" s="11" t="n">
        <v>22</v>
      </c>
      <c r="D23" s="12" t="n">
        <f aca="false">IF(C23=0,"",B23/C23)</f>
        <v>0</v>
      </c>
      <c r="E23" s="9" t="s">
        <v>104</v>
      </c>
    </row>
    <row r="24" customFormat="false" ht="15" hidden="false" customHeight="false" outlineLevel="0" collapsed="false">
      <c r="A24" s="7" t="s">
        <v>105</v>
      </c>
      <c r="B24" s="8" t="n">
        <f aca="false">COUNTIFS(Pipeline!$O$6:$O$97,"&gt;="&amp;4,Pipeline!$O$6:$O$97,"&lt;8")</f>
        <v>0</v>
      </c>
      <c r="C24" s="11" t="n">
        <v>14</v>
      </c>
      <c r="D24" s="12" t="n">
        <f aca="false">IF(C24=0,"",B24/C24)</f>
        <v>0</v>
      </c>
      <c r="E24" s="9" t="s">
        <v>106</v>
      </c>
    </row>
    <row r="25" customFormat="false" ht="15" hidden="false" customHeight="false" outlineLevel="0" collapsed="false">
      <c r="A25" s="7" t="s">
        <v>107</v>
      </c>
      <c r="B25" s="8" t="n">
        <f aca="false">COUNTIFS(Pipeline!$O$6:$O$97,"&gt;="&amp;5,Pipeline!$O$6:$O$97,"&lt;8")</f>
        <v>0</v>
      </c>
      <c r="C25" s="11" t="n">
        <v>5</v>
      </c>
      <c r="D25" s="12" t="n">
        <f aca="false">IF(C25=0,"",B25/C25)</f>
        <v>0</v>
      </c>
      <c r="E25" s="9" t="s">
        <v>108</v>
      </c>
    </row>
    <row r="26" customFormat="false" ht="15" hidden="false" customHeight="false" outlineLevel="0" collapsed="false">
      <c r="A26" s="7" t="s">
        <v>109</v>
      </c>
      <c r="B26" s="8" t="n">
        <f aca="false">COUNTIFS(Pipeline!$O$6:$O$97,"&gt;="&amp;6,Pipeline!$O$6:$O$97,"&lt;8")</f>
        <v>0</v>
      </c>
      <c r="C26" s="11" t="n">
        <v>4</v>
      </c>
      <c r="D26" s="12" t="n">
        <f aca="false">IF(C26=0,"",B26/C26)</f>
        <v>0</v>
      </c>
      <c r="E26" s="9" t="s">
        <v>110</v>
      </c>
    </row>
    <row r="27" customFormat="false" ht="15" hidden="false" customHeight="false" outlineLevel="0" collapsed="false">
      <c r="A27" s="7" t="s">
        <v>111</v>
      </c>
      <c r="B27" s="8" t="n">
        <f aca="false">COUNTIF(Pipeline!$O$6:$O$97,7)</f>
        <v>0</v>
      </c>
      <c r="C27" s="11" t="n">
        <v>2</v>
      </c>
      <c r="D27" s="12" t="n">
        <f aca="false">IF(C27=0,"",B27/C27)</f>
        <v>0</v>
      </c>
      <c r="E27" s="9" t="s">
        <v>112</v>
      </c>
    </row>
    <row r="28" customFormat="false" ht="15" hidden="false" customHeight="false" outlineLevel="0" collapsed="false">
      <c r="A28" s="2"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2"/>
    <col collapsed="false" customWidth="true" hidden="false" outlineLevel="0" max="4" min="4" style="0" width="60"/>
    <col collapsed="false" customWidth="true" hidden="false" outlineLevel="0" max="6" min="5" style="0" width="34"/>
    <col collapsed="false" customWidth="true" hidden="false" outlineLevel="0" max="7" min="7" style="0" width="40"/>
  </cols>
  <sheetData>
    <row r="1" customFormat="false" ht="18.55" hidden="false" customHeight="false" outlineLevel="0" collapsed="false">
      <c r="A1" s="1" t="s">
        <v>114</v>
      </c>
    </row>
    <row r="2" customFormat="false" ht="15" hidden="false" customHeight="false" outlineLevel="0" collapsed="false">
      <c r="A2" s="2" t="s">
        <v>115</v>
      </c>
    </row>
    <row r="4" customFormat="false" ht="15" hidden="false" customHeight="false" outlineLevel="0" collapsed="false">
      <c r="A4" s="6" t="s">
        <v>116</v>
      </c>
      <c r="B4" s="6" t="s">
        <v>117</v>
      </c>
      <c r="C4" s="6" t="s">
        <v>118</v>
      </c>
      <c r="D4" s="6" t="s">
        <v>119</v>
      </c>
      <c r="E4" s="6" t="s">
        <v>120</v>
      </c>
      <c r="F4" s="6" t="s">
        <v>121</v>
      </c>
      <c r="G4" s="6" t="s">
        <v>122</v>
      </c>
    </row>
    <row r="5" customFormat="false" ht="23.85" hidden="false" customHeight="false" outlineLevel="0" collapsed="false">
      <c r="A5" s="7" t="s">
        <v>123</v>
      </c>
      <c r="B5" s="7" t="s">
        <v>124</v>
      </c>
      <c r="C5" s="13" t="n">
        <v>12</v>
      </c>
      <c r="D5" s="9" t="s">
        <v>125</v>
      </c>
      <c r="E5" s="9" t="s">
        <v>126</v>
      </c>
      <c r="F5" s="9" t="s">
        <v>127</v>
      </c>
      <c r="G5" s="9" t="s">
        <v>128</v>
      </c>
    </row>
    <row r="6" customFormat="false" ht="23.85" hidden="false" customHeight="false" outlineLevel="0" collapsed="false">
      <c r="A6" s="7" t="s">
        <v>129</v>
      </c>
      <c r="B6" s="7" t="s">
        <v>130</v>
      </c>
      <c r="C6" s="13" t="n">
        <v>10</v>
      </c>
      <c r="D6" s="9" t="s">
        <v>131</v>
      </c>
      <c r="E6" s="9" t="s">
        <v>132</v>
      </c>
      <c r="F6" s="9" t="s">
        <v>133</v>
      </c>
      <c r="G6" s="9" t="s">
        <v>134</v>
      </c>
    </row>
    <row r="7" customFormat="false" ht="35.05" hidden="false" customHeight="false" outlineLevel="0" collapsed="false">
      <c r="A7" s="7" t="s">
        <v>135</v>
      </c>
      <c r="B7" s="7" t="s">
        <v>136</v>
      </c>
      <c r="C7" s="13" t="n">
        <v>8</v>
      </c>
      <c r="D7" s="9" t="s">
        <v>137</v>
      </c>
      <c r="E7" s="9" t="s">
        <v>138</v>
      </c>
      <c r="F7" s="9" t="s">
        <v>139</v>
      </c>
      <c r="G7" s="9" t="s">
        <v>140</v>
      </c>
    </row>
    <row r="8" customFormat="false" ht="23.85" hidden="false" customHeight="false" outlineLevel="0" collapsed="false">
      <c r="A8" s="7" t="s">
        <v>141</v>
      </c>
      <c r="B8" s="7" t="s">
        <v>142</v>
      </c>
      <c r="C8" s="13" t="n">
        <v>10</v>
      </c>
      <c r="D8" s="9" t="s">
        <v>143</v>
      </c>
      <c r="E8" s="9" t="s">
        <v>144</v>
      </c>
      <c r="F8" s="9" t="s">
        <v>145</v>
      </c>
      <c r="G8" s="9" t="s">
        <v>146</v>
      </c>
    </row>
    <row r="9" customFormat="false" ht="23.85" hidden="false" customHeight="false" outlineLevel="0" collapsed="false">
      <c r="A9" s="7" t="s">
        <v>147</v>
      </c>
      <c r="B9" s="7" t="s">
        <v>148</v>
      </c>
      <c r="C9" s="13" t="n">
        <v>8</v>
      </c>
      <c r="D9" s="9" t="s">
        <v>149</v>
      </c>
      <c r="E9" s="9" t="s">
        <v>150</v>
      </c>
      <c r="F9" s="9" t="s">
        <v>151</v>
      </c>
      <c r="G9" s="9" t="s">
        <v>152</v>
      </c>
    </row>
    <row r="10" customFormat="false" ht="23.85" hidden="false" customHeight="false" outlineLevel="0" collapsed="false">
      <c r="A10" s="7" t="s">
        <v>153</v>
      </c>
      <c r="B10" s="7" t="s">
        <v>154</v>
      </c>
      <c r="C10" s="13" t="n">
        <v>10</v>
      </c>
      <c r="D10" s="9" t="s">
        <v>155</v>
      </c>
      <c r="E10" s="9" t="s">
        <v>156</v>
      </c>
      <c r="F10" s="9" t="s">
        <v>157</v>
      </c>
      <c r="G10" s="9" t="s">
        <v>158</v>
      </c>
    </row>
    <row r="11" customFormat="false" ht="23.85" hidden="false" customHeight="false" outlineLevel="0" collapsed="false">
      <c r="A11" s="7" t="s">
        <v>159</v>
      </c>
      <c r="B11" s="7" t="s">
        <v>160</v>
      </c>
      <c r="C11" s="13" t="n">
        <v>10</v>
      </c>
      <c r="D11" s="9" t="s">
        <v>161</v>
      </c>
      <c r="E11" s="9" t="s">
        <v>162</v>
      </c>
      <c r="F11" s="9" t="s">
        <v>163</v>
      </c>
      <c r="G11" s="9" t="s">
        <v>164</v>
      </c>
    </row>
    <row r="12" customFormat="false" ht="23.85" hidden="false" customHeight="false" outlineLevel="0" collapsed="false">
      <c r="A12" s="7" t="s">
        <v>165</v>
      </c>
      <c r="B12" s="7" t="s">
        <v>166</v>
      </c>
      <c r="C12" s="14" t="n">
        <v>12</v>
      </c>
      <c r="D12" s="9" t="s">
        <v>167</v>
      </c>
      <c r="E12" s="9" t="s">
        <v>168</v>
      </c>
      <c r="F12" s="9" t="s">
        <v>169</v>
      </c>
      <c r="G12" s="9" t="s">
        <v>170</v>
      </c>
    </row>
    <row r="13" customFormat="false" ht="23.85" hidden="false" customHeight="false" outlineLevel="0" collapsed="false">
      <c r="A13" s="7" t="s">
        <v>171</v>
      </c>
      <c r="B13" s="7" t="s">
        <v>172</v>
      </c>
      <c r="C13" s="13" t="n">
        <v>6</v>
      </c>
      <c r="D13" s="9" t="s">
        <v>173</v>
      </c>
      <c r="E13" s="9" t="s">
        <v>174</v>
      </c>
      <c r="F13" s="9" t="s">
        <v>175</v>
      </c>
      <c r="G13" s="9" t="s">
        <v>176</v>
      </c>
    </row>
    <row r="14" customFormat="false" ht="23.85" hidden="false" customHeight="false" outlineLevel="0" collapsed="false">
      <c r="A14" s="7" t="s">
        <v>177</v>
      </c>
      <c r="B14" s="7" t="s">
        <v>178</v>
      </c>
      <c r="C14" s="13" t="n">
        <v>7</v>
      </c>
      <c r="D14" s="9" t="s">
        <v>179</v>
      </c>
      <c r="E14" s="9" t="s">
        <v>180</v>
      </c>
      <c r="F14" s="9" t="s">
        <v>181</v>
      </c>
      <c r="G14" s="9" t="s">
        <v>182</v>
      </c>
    </row>
    <row r="15" customFormat="false" ht="23.85" hidden="false" customHeight="false" outlineLevel="0" collapsed="false">
      <c r="A15" s="7" t="s">
        <v>183</v>
      </c>
      <c r="B15" s="7" t="s">
        <v>184</v>
      </c>
      <c r="C15" s="13" t="n">
        <v>7</v>
      </c>
      <c r="D15" s="9" t="s">
        <v>185</v>
      </c>
      <c r="E15" s="9" t="s">
        <v>186</v>
      </c>
      <c r="F15" s="9" t="s">
        <v>187</v>
      </c>
      <c r="G15" s="9" t="s">
        <v>188</v>
      </c>
    </row>
    <row r="16" customFormat="false" ht="15" hidden="false" customHeight="false" outlineLevel="0" collapsed="false">
      <c r="B16" s="15" t="s">
        <v>189</v>
      </c>
      <c r="C16" s="16" t="n">
        <f aca="false">SUM(C5:C15)</f>
        <v>100</v>
      </c>
      <c r="D16" s="2" t="str">
        <f aca="false">IF(C16=100,"OK","Lưu ý: tổng khác 100, điểm vẫn quy về thang 100 nhưng nên giữ 100 cho dễ đọc")</f>
        <v>OK</v>
      </c>
    </row>
    <row r="17" customFormat="false" ht="15" hidden="false" customHeight="false" outlineLevel="0" collapsed="false">
      <c r="B17" s="2" t="s">
        <v>190</v>
      </c>
    </row>
    <row r="19" customFormat="false" ht="15" hidden="false" customHeight="true" outlineLevel="0" collapsed="false">
      <c r="B19" s="15" t="s">
        <v>191</v>
      </c>
      <c r="C19" s="17" t="n">
        <v>70</v>
      </c>
      <c r="D19" s="18" t="s">
        <v>192</v>
      </c>
      <c r="E19" s="18"/>
      <c r="F19" s="18"/>
      <c r="G19" s="18"/>
    </row>
    <row r="20" customFormat="false" ht="15" hidden="false" customHeight="false" outlineLevel="0" collapsed="false">
      <c r="B20" s="15" t="s">
        <v>193</v>
      </c>
      <c r="C20" s="17" t="n">
        <v>65</v>
      </c>
      <c r="D20" s="18"/>
      <c r="E20" s="18"/>
      <c r="F20" s="18"/>
      <c r="G20" s="18"/>
    </row>
  </sheetData>
  <mergeCells count="1">
    <mergeCell ref="D19: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1"/>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1"/>
    <col collapsed="false" customWidth="true" hidden="false" outlineLevel="0" max="4" min="4" style="0" width="20"/>
    <col collapsed="false" customWidth="true" hidden="false" outlineLevel="0" max="5" min="5" style="0" width="8"/>
    <col collapsed="false" customWidth="true" hidden="false" outlineLevel="0" max="6" min="6" style="0" width="9"/>
    <col collapsed="false" customWidth="true" hidden="false" outlineLevel="0" max="7" min="7" style="0" width="30"/>
    <col collapsed="false" customWidth="true" hidden="false" outlineLevel="0" max="8" min="8" style="0" width="32"/>
    <col collapsed="false" customWidth="true" hidden="false" outlineLevel="0" max="9" min="9" style="0" width="30"/>
    <col collapsed="false" customWidth="true" hidden="false" outlineLevel="0" max="10" min="10" style="0" width="32"/>
    <col collapsed="false" customWidth="true" hidden="false" outlineLevel="0" max="21" min="11" style="0" width="9"/>
    <col collapsed="false" customWidth="true" hidden="false" outlineLevel="0" max="22" min="22" style="0" width="10"/>
    <col collapsed="false" customWidth="true" hidden="false" outlineLevel="0" max="23" min="23" style="0" width="12"/>
    <col collapsed="false" customWidth="true" hidden="false" outlineLevel="0" max="24" min="24" style="0" width="34"/>
    <col collapsed="false" customWidth="true" hidden="false" outlineLevel="0" max="25" min="25" style="0" width="32"/>
    <col collapsed="false" customWidth="true" hidden="false" outlineLevel="0" max="26" min="26" style="0" width="70"/>
    <col collapsed="false" customWidth="true" hidden="false" outlineLevel="0" max="27" min="27" style="0" width="34"/>
    <col collapsed="false" customWidth="true" hidden="false" outlineLevel="0" max="28" min="28" style="0" width="22"/>
    <col collapsed="false" customWidth="true" hidden="false" outlineLevel="0" max="29" min="29" style="0" width="14"/>
  </cols>
  <sheetData>
    <row r="1" customFormat="false" ht="18.55" hidden="false" customHeight="false" outlineLevel="0" collapsed="false">
      <c r="A1" s="1" t="s">
        <v>194</v>
      </c>
    </row>
    <row r="2" customFormat="false" ht="15" hidden="false" customHeight="false" outlineLevel="0" collapsed="false">
      <c r="A2" s="2" t="s">
        <v>195</v>
      </c>
    </row>
    <row r="3" customFormat="false" ht="15" hidden="false" customHeight="false" outlineLevel="0" collapsed="false">
      <c r="J3" s="19" t="s">
        <v>196</v>
      </c>
      <c r="K3" s="20" t="n">
        <f aca="false">'Trọng số'!C5</f>
        <v>12</v>
      </c>
      <c r="L3" s="20" t="n">
        <f aca="false">'Trọng số'!C6</f>
        <v>10</v>
      </c>
      <c r="M3" s="20" t="n">
        <f aca="false">'Trọng số'!C7</f>
        <v>8</v>
      </c>
      <c r="N3" s="20" t="n">
        <f aca="false">'Trọng số'!C8</f>
        <v>10</v>
      </c>
      <c r="O3" s="20" t="n">
        <f aca="false">'Trọng số'!C9</f>
        <v>8</v>
      </c>
      <c r="P3" s="20" t="n">
        <f aca="false">'Trọng số'!C10</f>
        <v>10</v>
      </c>
      <c r="Q3" s="20" t="n">
        <f aca="false">'Trọng số'!C11</f>
        <v>10</v>
      </c>
      <c r="R3" s="20" t="n">
        <f aca="false">'Trọng số'!C12</f>
        <v>12</v>
      </c>
      <c r="S3" s="20" t="n">
        <f aca="false">'Trọng số'!C13</f>
        <v>6</v>
      </c>
      <c r="T3" s="20" t="n">
        <f aca="false">'Trọng số'!C14</f>
        <v>7</v>
      </c>
      <c r="U3" s="20" t="n">
        <f aca="false">'Trọng số'!C15</f>
        <v>7</v>
      </c>
    </row>
    <row r="4" customFormat="false" ht="57.75" hidden="false" customHeight="true" outlineLevel="0" collapsed="false">
      <c r="A4" s="6" t="s">
        <v>197</v>
      </c>
      <c r="B4" s="6" t="s">
        <v>198</v>
      </c>
      <c r="C4" s="6" t="s">
        <v>199</v>
      </c>
      <c r="D4" s="6" t="s">
        <v>200</v>
      </c>
      <c r="E4" s="6" t="s">
        <v>201</v>
      </c>
      <c r="F4" s="6" t="s">
        <v>202</v>
      </c>
      <c r="G4" s="6" t="s">
        <v>203</v>
      </c>
      <c r="H4" s="6" t="s">
        <v>204</v>
      </c>
      <c r="I4" s="6" t="s">
        <v>205</v>
      </c>
      <c r="J4" s="6" t="s">
        <v>160</v>
      </c>
      <c r="K4" s="6" t="s">
        <v>206</v>
      </c>
      <c r="L4" s="6" t="s">
        <v>207</v>
      </c>
      <c r="M4" s="6" t="s">
        <v>208</v>
      </c>
      <c r="N4" s="6" t="s">
        <v>209</v>
      </c>
      <c r="O4" s="6" t="s">
        <v>210</v>
      </c>
      <c r="P4" s="6" t="s">
        <v>211</v>
      </c>
      <c r="Q4" s="6" t="s">
        <v>212</v>
      </c>
      <c r="R4" s="6" t="s">
        <v>213</v>
      </c>
      <c r="S4" s="6" t="s">
        <v>214</v>
      </c>
      <c r="T4" s="6" t="s">
        <v>215</v>
      </c>
      <c r="U4" s="6" t="s">
        <v>216</v>
      </c>
      <c r="V4" s="6" t="s">
        <v>217</v>
      </c>
      <c r="W4" s="6" t="s">
        <v>218</v>
      </c>
      <c r="X4" s="6" t="s">
        <v>219</v>
      </c>
      <c r="Y4" s="6" t="s">
        <v>220</v>
      </c>
      <c r="Z4" s="6" t="s">
        <v>221</v>
      </c>
      <c r="AA4" s="6" t="s">
        <v>222</v>
      </c>
      <c r="AB4" s="6" t="s">
        <v>223</v>
      </c>
      <c r="AC4" s="6" t="s">
        <v>224</v>
      </c>
    </row>
    <row r="5" customFormat="false" ht="75" hidden="false" customHeight="true" outlineLevel="0" collapsed="false">
      <c r="A5" s="8" t="n">
        <f aca="false">RANK(V5,$V$5:$V$101)</f>
        <v>1</v>
      </c>
      <c r="B5" s="7" t="s">
        <v>225</v>
      </c>
      <c r="C5" s="9" t="s">
        <v>226</v>
      </c>
      <c r="D5" s="9" t="s">
        <v>227</v>
      </c>
      <c r="E5" s="11" t="s">
        <v>228</v>
      </c>
      <c r="F5" s="9"/>
      <c r="G5" s="9" t="s">
        <v>229</v>
      </c>
      <c r="H5" s="9" t="s">
        <v>230</v>
      </c>
      <c r="I5" s="9" t="s">
        <v>231</v>
      </c>
      <c r="J5" s="9" t="s">
        <v>232</v>
      </c>
      <c r="K5" s="11" t="n">
        <v>3</v>
      </c>
      <c r="L5" s="11" t="n">
        <v>5</v>
      </c>
      <c r="M5" s="11" t="n">
        <v>5</v>
      </c>
      <c r="N5" s="11" t="n">
        <v>4</v>
      </c>
      <c r="O5" s="11" t="n">
        <v>5</v>
      </c>
      <c r="P5" s="11" t="n">
        <v>5</v>
      </c>
      <c r="Q5" s="11" t="n">
        <v>3</v>
      </c>
      <c r="R5" s="14" t="n">
        <v>1</v>
      </c>
      <c r="S5" s="8" t="n">
        <f aca="false">IF(E5="Ngoài HN",1,IF(E5="","",6-VALUE(E5)))</f>
        <v>5</v>
      </c>
      <c r="T5" s="11" t="n">
        <v>5</v>
      </c>
      <c r="U5" s="11" t="n">
        <v>4</v>
      </c>
      <c r="V5" s="21" t="n">
        <f aca="false">ROUND(SUMPRODUCT(K5:U5,$K$3:$U$3)/(5*SUM($K$3:$U$3))*100,1)</f>
        <v>78.2</v>
      </c>
      <c r="W5" s="22" t="str">
        <f aca="false">IF(E5="Ngoài HN","Đợt 4 – Ngoài HN",IF(V5&gt;='Trọng số'!$C$19,"Đợt 1",IF(V5&gt;='Trọng số'!$C$20,"Đợt 2","Đợt 3")))</f>
        <v>Đợt 1</v>
      </c>
      <c r="X5" s="23" t="str">
        <f aca="false">IF(K5&gt;=4,"LMS + số hóa học liệu",IF(K5=3,"Nâng cấp/thay LMS + số hóa học liệu","Số hóa học liệu, chạy trên LMS sẵn có"))&amp;IF(L5&gt;=4," + mô phỏng","")&amp;IF(M5&gt;=4," + ngoại ngữ","")</f>
        <v>Nâng cấp/thay LMS + số hóa học liệu + mô phỏng + ngoại ngữ</v>
      </c>
      <c r="Y5" s="9" t="s">
        <v>233</v>
      </c>
      <c r="Z5" s="24" t="s">
        <v>234</v>
      </c>
      <c r="AA5" s="9"/>
      <c r="AB5" s="9"/>
      <c r="AC5" s="9" t="s">
        <v>235</v>
      </c>
    </row>
    <row r="6" customFormat="false" ht="75" hidden="false" customHeight="true" outlineLevel="0" collapsed="false">
      <c r="A6" s="8" t="n">
        <f aca="false">RANK(V6,$V$5:$V$101)</f>
        <v>2</v>
      </c>
      <c r="B6" s="7" t="s">
        <v>236</v>
      </c>
      <c r="C6" s="9" t="s">
        <v>237</v>
      </c>
      <c r="D6" s="9" t="s">
        <v>238</v>
      </c>
      <c r="E6" s="11" t="s">
        <v>228</v>
      </c>
      <c r="F6" s="9" t="n">
        <v>1.5</v>
      </c>
      <c r="G6" s="9" t="s">
        <v>239</v>
      </c>
      <c r="H6" s="9" t="s">
        <v>240</v>
      </c>
      <c r="I6" s="9" t="s">
        <v>241</v>
      </c>
      <c r="J6" s="9" t="s">
        <v>242</v>
      </c>
      <c r="K6" s="11" t="n">
        <v>5</v>
      </c>
      <c r="L6" s="11" t="n">
        <v>5</v>
      </c>
      <c r="M6" s="11" t="n">
        <v>4</v>
      </c>
      <c r="N6" s="11" t="n">
        <v>5</v>
      </c>
      <c r="O6" s="11" t="n">
        <v>4</v>
      </c>
      <c r="P6" s="11" t="n">
        <v>3</v>
      </c>
      <c r="Q6" s="11" t="n">
        <v>5</v>
      </c>
      <c r="R6" s="14" t="n">
        <v>1</v>
      </c>
      <c r="S6" s="8" t="n">
        <f aca="false">IF(E6="Ngoài HN",1,IF(E6="","",6-VALUE(E6)))</f>
        <v>5</v>
      </c>
      <c r="T6" s="11" t="n">
        <v>2</v>
      </c>
      <c r="U6" s="11" t="n">
        <v>4</v>
      </c>
      <c r="V6" s="21" t="n">
        <f aca="false">ROUND(SUMPRODUCT(K6:U6,$K$3:$U$3)/(5*SUM($K$3:$U$3))*100,1)</f>
        <v>77.6</v>
      </c>
      <c r="W6" s="22" t="str">
        <f aca="false">IF(E6="Ngoài HN","Đợt 4 – Ngoài HN",IF(V6&gt;='Trọng số'!$C$19,"Đợt 1",IF(V6&gt;='Trọng số'!$C$20,"Đợt 2","Đợt 3")))</f>
        <v>Đợt 1</v>
      </c>
      <c r="X6" s="23" t="str">
        <f aca="false">IF(K6&gt;=4,"LMS + số hóa học liệu",IF(K6=3,"Nâng cấp/thay LMS + số hóa học liệu","Số hóa học liệu, chạy trên LMS sẵn có"))&amp;IF(L6&gt;=4," + mô phỏng","")&amp;IF(M6&gt;=4," + ngoại ngữ","")</f>
        <v>LMS + số hóa học liệu + mô phỏng + ngoại ngữ</v>
      </c>
      <c r="Y6" s="9" t="s">
        <v>243</v>
      </c>
      <c r="Z6" s="24" t="s">
        <v>244</v>
      </c>
      <c r="AA6" s="9" t="s">
        <v>245</v>
      </c>
      <c r="AB6" s="9" t="s">
        <v>246</v>
      </c>
      <c r="AC6" s="9" t="s">
        <v>247</v>
      </c>
    </row>
    <row r="7" customFormat="false" ht="75" hidden="false" customHeight="true" outlineLevel="0" collapsed="false">
      <c r="A7" s="8" t="n">
        <f aca="false">RANK(V7,$V$5:$V$101)</f>
        <v>3</v>
      </c>
      <c r="B7" s="7" t="s">
        <v>248</v>
      </c>
      <c r="C7" s="9" t="s">
        <v>237</v>
      </c>
      <c r="D7" s="9" t="s">
        <v>238</v>
      </c>
      <c r="E7" s="11" t="s">
        <v>249</v>
      </c>
      <c r="F7" s="9"/>
      <c r="G7" s="9" t="s">
        <v>250</v>
      </c>
      <c r="H7" s="9" t="s">
        <v>231</v>
      </c>
      <c r="I7" s="9" t="s">
        <v>231</v>
      </c>
      <c r="J7" s="9" t="s">
        <v>251</v>
      </c>
      <c r="K7" s="11" t="n">
        <v>4</v>
      </c>
      <c r="L7" s="11" t="n">
        <v>4</v>
      </c>
      <c r="M7" s="11" t="n">
        <v>5</v>
      </c>
      <c r="N7" s="11" t="n">
        <v>5</v>
      </c>
      <c r="O7" s="11" t="n">
        <v>4</v>
      </c>
      <c r="P7" s="11" t="n">
        <v>3</v>
      </c>
      <c r="Q7" s="11" t="n">
        <v>5</v>
      </c>
      <c r="R7" s="14" t="n">
        <v>1</v>
      </c>
      <c r="S7" s="8" t="n">
        <f aca="false">IF(E7="Ngoài HN",1,IF(E7="","",6-VALUE(E7)))</f>
        <v>3</v>
      </c>
      <c r="T7" s="11" t="n">
        <v>3</v>
      </c>
      <c r="U7" s="11" t="n">
        <v>4</v>
      </c>
      <c r="V7" s="21" t="n">
        <f aca="false">ROUND(SUMPRODUCT(K7:U7,$K$3:$U$3)/(5*SUM($K$3:$U$3))*100,1)</f>
        <v>73.8</v>
      </c>
      <c r="W7" s="22" t="str">
        <f aca="false">IF(E7="Ngoài HN","Đợt 4 – Ngoài HN",IF(V7&gt;='Trọng số'!$C$19,"Đợt 1",IF(V7&gt;='Trọng số'!$C$20,"Đợt 2","Đợt 3")))</f>
        <v>Đợt 1</v>
      </c>
      <c r="X7" s="23" t="str">
        <f aca="false">IF(K7&gt;=4,"LMS + số hóa học liệu",IF(K7=3,"Nâng cấp/thay LMS + số hóa học liệu","Số hóa học liệu, chạy trên LMS sẵn có"))&amp;IF(L7&gt;=4," + mô phỏng","")&amp;IF(M7&gt;=4," + ngoại ngữ","")</f>
        <v>LMS + số hóa học liệu + mô phỏng + ngoại ngữ</v>
      </c>
      <c r="Y7" s="9" t="s">
        <v>252</v>
      </c>
      <c r="Z7" s="24" t="s">
        <v>253</v>
      </c>
      <c r="AA7" s="9" t="s">
        <v>254</v>
      </c>
      <c r="AB7" s="9"/>
      <c r="AC7" s="9" t="s">
        <v>235</v>
      </c>
    </row>
    <row r="8" customFormat="false" ht="75" hidden="false" customHeight="true" outlineLevel="0" collapsed="false">
      <c r="A8" s="8" t="n">
        <f aca="false">RANK(V8,$V$5:$V$101)</f>
        <v>4</v>
      </c>
      <c r="B8" s="7" t="s">
        <v>255</v>
      </c>
      <c r="C8" s="9" t="s">
        <v>237</v>
      </c>
      <c r="D8" s="9" t="s">
        <v>227</v>
      </c>
      <c r="E8" s="11" t="s">
        <v>249</v>
      </c>
      <c r="F8" s="9" t="n">
        <v>13</v>
      </c>
      <c r="G8" s="9" t="s">
        <v>256</v>
      </c>
      <c r="H8" s="9" t="s">
        <v>257</v>
      </c>
      <c r="I8" s="9" t="s">
        <v>258</v>
      </c>
      <c r="J8" s="9" t="s">
        <v>259</v>
      </c>
      <c r="K8" s="11" t="n">
        <v>5</v>
      </c>
      <c r="L8" s="11" t="n">
        <v>5</v>
      </c>
      <c r="M8" s="11" t="n">
        <v>3</v>
      </c>
      <c r="N8" s="11" t="n">
        <v>4</v>
      </c>
      <c r="O8" s="11" t="n">
        <v>4</v>
      </c>
      <c r="P8" s="11" t="n">
        <v>5</v>
      </c>
      <c r="Q8" s="11" t="n">
        <v>4</v>
      </c>
      <c r="R8" s="14" t="n">
        <v>1</v>
      </c>
      <c r="S8" s="8" t="n">
        <f aca="false">IF(E8="Ngoài HN",1,IF(E8="","",6-VALUE(E8)))</f>
        <v>3</v>
      </c>
      <c r="T8" s="11" t="n">
        <v>3</v>
      </c>
      <c r="U8" s="11" t="n">
        <v>3</v>
      </c>
      <c r="V8" s="21" t="n">
        <f aca="false">ROUND(SUMPRODUCT(K8:U8,$K$3:$U$3)/(5*SUM($K$3:$U$3))*100,1)</f>
        <v>73.6</v>
      </c>
      <c r="W8" s="22" t="str">
        <f aca="false">IF(E8="Ngoài HN","Đợt 4 – Ngoài HN",IF(V8&gt;='Trọng số'!$C$19,"Đợt 1",IF(V8&gt;='Trọng số'!$C$20,"Đợt 2","Đợt 3")))</f>
        <v>Đợt 1</v>
      </c>
      <c r="X8" s="23" t="str">
        <f aca="false">IF(K8&gt;=4,"LMS + số hóa học liệu",IF(K8=3,"Nâng cấp/thay LMS + số hóa học liệu","Số hóa học liệu, chạy trên LMS sẵn có"))&amp;IF(L8&gt;=4," + mô phỏng","")&amp;IF(M8&gt;=4," + ngoại ngữ","")</f>
        <v>LMS + số hóa học liệu + mô phỏng</v>
      </c>
      <c r="Y8" s="9" t="s">
        <v>260</v>
      </c>
      <c r="Z8" s="24" t="s">
        <v>261</v>
      </c>
      <c r="AA8" s="9"/>
      <c r="AB8" s="9" t="s">
        <v>262</v>
      </c>
      <c r="AC8" s="9" t="s">
        <v>263</v>
      </c>
    </row>
    <row r="9" customFormat="false" ht="75" hidden="false" customHeight="true" outlineLevel="0" collapsed="false">
      <c r="A9" s="8" t="n">
        <f aca="false">RANK(V9,$V$5:$V$101)</f>
        <v>5</v>
      </c>
      <c r="B9" s="7" t="s">
        <v>264</v>
      </c>
      <c r="C9" s="9" t="s">
        <v>237</v>
      </c>
      <c r="D9" s="9" t="s">
        <v>238</v>
      </c>
      <c r="E9" s="11" t="s">
        <v>249</v>
      </c>
      <c r="F9" s="9" t="n">
        <v>12.5</v>
      </c>
      <c r="G9" s="9" t="s">
        <v>265</v>
      </c>
      <c r="H9" s="9" t="s">
        <v>266</v>
      </c>
      <c r="I9" s="9" t="s">
        <v>267</v>
      </c>
      <c r="J9" s="9" t="s">
        <v>268</v>
      </c>
      <c r="K9" s="11" t="n">
        <v>3</v>
      </c>
      <c r="L9" s="11" t="n">
        <v>4</v>
      </c>
      <c r="M9" s="11" t="n">
        <v>5</v>
      </c>
      <c r="N9" s="11" t="n">
        <v>5</v>
      </c>
      <c r="O9" s="11" t="n">
        <v>4</v>
      </c>
      <c r="P9" s="11" t="n">
        <v>3</v>
      </c>
      <c r="Q9" s="11" t="n">
        <v>5</v>
      </c>
      <c r="R9" s="14" t="n">
        <v>1</v>
      </c>
      <c r="S9" s="8" t="n">
        <f aca="false">IF(E9="Ngoài HN",1,IF(E9="","",6-VALUE(E9)))</f>
        <v>3</v>
      </c>
      <c r="T9" s="11" t="n">
        <v>4</v>
      </c>
      <c r="U9" s="11" t="n">
        <v>4</v>
      </c>
      <c r="V9" s="21" t="n">
        <f aca="false">ROUND(SUMPRODUCT(K9:U9,$K$3:$U$3)/(5*SUM($K$3:$U$3))*100,1)</f>
        <v>72.8</v>
      </c>
      <c r="W9" s="22" t="str">
        <f aca="false">IF(E9="Ngoài HN","Đợt 4 – Ngoài HN",IF(V9&gt;='Trọng số'!$C$19,"Đợt 1",IF(V9&gt;='Trọng số'!$C$20,"Đợt 2","Đợt 3")))</f>
        <v>Đợt 1</v>
      </c>
      <c r="X9" s="23" t="str">
        <f aca="false">IF(K9&gt;=4,"LMS + số hóa học liệu",IF(K9=3,"Nâng cấp/thay LMS + số hóa học liệu","Số hóa học liệu, chạy trên LMS sẵn có"))&amp;IF(L9&gt;=4," + mô phỏng","")&amp;IF(M9&gt;=4," + ngoại ngữ","")</f>
        <v>Nâng cấp/thay LMS + số hóa học liệu + mô phỏng + ngoại ngữ</v>
      </c>
      <c r="Y9" s="9" t="s">
        <v>269</v>
      </c>
      <c r="Z9" s="24" t="s">
        <v>270</v>
      </c>
      <c r="AA9" s="9" t="s">
        <v>271</v>
      </c>
      <c r="AB9" s="9" t="s">
        <v>272</v>
      </c>
      <c r="AC9" s="9" t="s">
        <v>273</v>
      </c>
    </row>
    <row r="10" customFormat="false" ht="75" hidden="false" customHeight="true" outlineLevel="0" collapsed="false">
      <c r="A10" s="8" t="n">
        <f aca="false">RANK(V10,$V$5:$V$101)</f>
        <v>5</v>
      </c>
      <c r="B10" s="7" t="s">
        <v>274</v>
      </c>
      <c r="C10" s="9" t="s">
        <v>226</v>
      </c>
      <c r="D10" s="9" t="s">
        <v>275</v>
      </c>
      <c r="E10" s="11" t="s">
        <v>249</v>
      </c>
      <c r="F10" s="9"/>
      <c r="G10" s="9" t="s">
        <v>276</v>
      </c>
      <c r="H10" s="9" t="s">
        <v>277</v>
      </c>
      <c r="I10" s="9" t="s">
        <v>231</v>
      </c>
      <c r="J10" s="9" t="s">
        <v>278</v>
      </c>
      <c r="K10" s="11" t="n">
        <v>2</v>
      </c>
      <c r="L10" s="11" t="n">
        <v>5</v>
      </c>
      <c r="M10" s="11" t="n">
        <v>5</v>
      </c>
      <c r="N10" s="11" t="n">
        <v>4</v>
      </c>
      <c r="O10" s="11" t="n">
        <v>5</v>
      </c>
      <c r="P10" s="11" t="n">
        <v>4</v>
      </c>
      <c r="Q10" s="11" t="n">
        <v>3</v>
      </c>
      <c r="R10" s="14" t="n">
        <v>1</v>
      </c>
      <c r="S10" s="8" t="n">
        <f aca="false">IF(E10="Ngoài HN",1,IF(E10="","",6-VALUE(E10)))</f>
        <v>3</v>
      </c>
      <c r="T10" s="11" t="n">
        <v>5</v>
      </c>
      <c r="U10" s="11" t="n">
        <v>5</v>
      </c>
      <c r="V10" s="21" t="n">
        <f aca="false">ROUND(SUMPRODUCT(K10:U10,$K$3:$U$3)/(5*SUM($K$3:$U$3))*100,1)</f>
        <v>72.8</v>
      </c>
      <c r="W10" s="22" t="str">
        <f aca="false">IF(E10="Ngoài HN","Đợt 4 – Ngoài HN",IF(V10&gt;='Trọng số'!$C$19,"Đợt 1",IF(V10&gt;='Trọng số'!$C$20,"Đợt 2","Đợt 3")))</f>
        <v>Đợt 1</v>
      </c>
      <c r="X10" s="23" t="str">
        <f aca="false">IF(K10&gt;=4,"LMS + số hóa học liệu",IF(K10=3,"Nâng cấp/thay LMS + số hóa học liệu","Số hóa học liệu, chạy trên LMS sẵn có"))&amp;IF(L10&gt;=4," + mô phỏng","")&amp;IF(M10&gt;=4," + ngoại ngữ","")</f>
        <v>Số hóa học liệu, chạy trên LMS sẵn có + mô phỏng + ngoại ngữ</v>
      </c>
      <c r="Y10" s="9" t="s">
        <v>233</v>
      </c>
      <c r="Z10" s="24" t="s">
        <v>279</v>
      </c>
      <c r="AA10" s="9" t="s">
        <v>280</v>
      </c>
      <c r="AB10" s="9"/>
      <c r="AC10" s="9" t="s">
        <v>235</v>
      </c>
    </row>
    <row r="11" customFormat="false" ht="75" hidden="false" customHeight="true" outlineLevel="0" collapsed="false">
      <c r="A11" s="8" t="n">
        <f aca="false">RANK(V11,$V$5:$V$101)</f>
        <v>7</v>
      </c>
      <c r="B11" s="7" t="s">
        <v>281</v>
      </c>
      <c r="C11" s="9" t="s">
        <v>237</v>
      </c>
      <c r="D11" s="9" t="s">
        <v>238</v>
      </c>
      <c r="E11" s="11" t="s">
        <v>282</v>
      </c>
      <c r="F11" s="9" t="n">
        <v>7.5</v>
      </c>
      <c r="G11" s="9" t="s">
        <v>283</v>
      </c>
      <c r="H11" s="9" t="s">
        <v>284</v>
      </c>
      <c r="I11" s="9" t="s">
        <v>285</v>
      </c>
      <c r="J11" s="9" t="s">
        <v>286</v>
      </c>
      <c r="K11" s="11" t="n">
        <v>2</v>
      </c>
      <c r="L11" s="11" t="n">
        <v>5</v>
      </c>
      <c r="M11" s="11" t="n">
        <v>3</v>
      </c>
      <c r="N11" s="11" t="n">
        <v>5</v>
      </c>
      <c r="O11" s="11" t="n">
        <v>4</v>
      </c>
      <c r="P11" s="11" t="n">
        <v>3</v>
      </c>
      <c r="Q11" s="11" t="n">
        <v>5</v>
      </c>
      <c r="R11" s="14" t="n">
        <v>1</v>
      </c>
      <c r="S11" s="8" t="n">
        <f aca="false">IF(E11="Ngoài HN",1,IF(E11="","",6-VALUE(E11)))</f>
        <v>4</v>
      </c>
      <c r="T11" s="11" t="n">
        <v>5</v>
      </c>
      <c r="U11" s="11" t="n">
        <v>4</v>
      </c>
      <c r="V11" s="21" t="n">
        <f aca="false">ROUND(SUMPRODUCT(K11:U11,$K$3:$U$3)/(5*SUM($K$3:$U$3))*100,1)</f>
        <v>71.8</v>
      </c>
      <c r="W11" s="22" t="str">
        <f aca="false">IF(E11="Ngoài HN","Đợt 4 – Ngoài HN",IF(V11&gt;='Trọng số'!$C$19,"Đợt 1",IF(V11&gt;='Trọng số'!$C$20,"Đợt 2","Đợt 3")))</f>
        <v>Đợt 1</v>
      </c>
      <c r="X11" s="23" t="str">
        <f aca="false">IF(K11&gt;=4,"LMS + số hóa học liệu",IF(K11=3,"Nâng cấp/thay LMS + số hóa học liệu","Số hóa học liệu, chạy trên LMS sẵn có"))&amp;IF(L11&gt;=4," + mô phỏng","")&amp;IF(M11&gt;=4," + ngoại ngữ","")</f>
        <v>Số hóa học liệu, chạy trên LMS sẵn có + mô phỏng</v>
      </c>
      <c r="Y11" s="9" t="s">
        <v>287</v>
      </c>
      <c r="Z11" s="24" t="s">
        <v>288</v>
      </c>
      <c r="AA11" s="9" t="s">
        <v>289</v>
      </c>
      <c r="AB11" s="9" t="s">
        <v>290</v>
      </c>
      <c r="AC11" s="9" t="s">
        <v>291</v>
      </c>
    </row>
    <row r="12" customFormat="false" ht="75" hidden="false" customHeight="true" outlineLevel="0" collapsed="false">
      <c r="A12" s="8" t="n">
        <f aca="false">RANK(V12,$V$5:$V$101)</f>
        <v>8</v>
      </c>
      <c r="B12" s="7" t="s">
        <v>292</v>
      </c>
      <c r="C12" s="9" t="s">
        <v>226</v>
      </c>
      <c r="D12" s="9" t="s">
        <v>275</v>
      </c>
      <c r="E12" s="11" t="s">
        <v>282</v>
      </c>
      <c r="F12" s="9"/>
      <c r="G12" s="9" t="s">
        <v>293</v>
      </c>
      <c r="H12" s="9" t="s">
        <v>230</v>
      </c>
      <c r="I12" s="9" t="s">
        <v>231</v>
      </c>
      <c r="J12" s="9" t="s">
        <v>278</v>
      </c>
      <c r="K12" s="11" t="n">
        <v>3</v>
      </c>
      <c r="L12" s="11" t="n">
        <v>4</v>
      </c>
      <c r="M12" s="11" t="n">
        <v>4</v>
      </c>
      <c r="N12" s="11" t="n">
        <v>4</v>
      </c>
      <c r="O12" s="11" t="n">
        <v>5</v>
      </c>
      <c r="P12" s="11" t="n">
        <v>4</v>
      </c>
      <c r="Q12" s="11" t="n">
        <v>3</v>
      </c>
      <c r="R12" s="14" t="n">
        <v>1</v>
      </c>
      <c r="S12" s="8" t="n">
        <f aca="false">IF(E12="Ngoài HN",1,IF(E12="","",6-VALUE(E12)))</f>
        <v>4</v>
      </c>
      <c r="T12" s="11" t="n">
        <v>5</v>
      </c>
      <c r="U12" s="11" t="n">
        <v>4</v>
      </c>
      <c r="V12" s="21" t="n">
        <f aca="false">ROUND(SUMPRODUCT(K12:U12,$K$3:$U$3)/(5*SUM($K$3:$U$3))*100,1)</f>
        <v>71.4</v>
      </c>
      <c r="W12" s="22" t="str">
        <f aca="false">IF(E12="Ngoài HN","Đợt 4 – Ngoài HN",IF(V12&gt;='Trọng số'!$C$19,"Đợt 1",IF(V12&gt;='Trọng số'!$C$20,"Đợt 2","Đợt 3")))</f>
        <v>Đợt 1</v>
      </c>
      <c r="X12" s="23" t="str">
        <f aca="false">IF(K12&gt;=4,"LMS + số hóa học liệu",IF(K12=3,"Nâng cấp/thay LMS + số hóa học liệu","Số hóa học liệu, chạy trên LMS sẵn có"))&amp;IF(L12&gt;=4," + mô phỏng","")&amp;IF(M12&gt;=4," + ngoại ngữ","")</f>
        <v>Nâng cấp/thay LMS + số hóa học liệu + mô phỏng + ngoại ngữ</v>
      </c>
      <c r="Y12" s="9" t="s">
        <v>233</v>
      </c>
      <c r="Z12" s="24" t="s">
        <v>294</v>
      </c>
      <c r="AA12" s="9"/>
      <c r="AB12" s="9"/>
      <c r="AC12" s="9" t="s">
        <v>235</v>
      </c>
    </row>
    <row r="13" customFormat="false" ht="75" hidden="false" customHeight="true" outlineLevel="0" collapsed="false">
      <c r="A13" s="8" t="n">
        <f aca="false">RANK(V13,$V$5:$V$101)</f>
        <v>9</v>
      </c>
      <c r="B13" s="7" t="s">
        <v>295</v>
      </c>
      <c r="C13" s="9" t="s">
        <v>237</v>
      </c>
      <c r="D13" s="9" t="s">
        <v>238</v>
      </c>
      <c r="E13" s="11" t="s">
        <v>282</v>
      </c>
      <c r="F13" s="9" t="n">
        <v>10.2</v>
      </c>
      <c r="G13" s="9" t="s">
        <v>296</v>
      </c>
      <c r="H13" s="9" t="s">
        <v>297</v>
      </c>
      <c r="I13" s="9" t="s">
        <v>298</v>
      </c>
      <c r="J13" s="9" t="s">
        <v>299</v>
      </c>
      <c r="K13" s="11" t="n">
        <v>3</v>
      </c>
      <c r="L13" s="11" t="n">
        <v>4</v>
      </c>
      <c r="M13" s="11" t="n">
        <v>3</v>
      </c>
      <c r="N13" s="11" t="n">
        <v>5</v>
      </c>
      <c r="O13" s="11" t="n">
        <v>4</v>
      </c>
      <c r="P13" s="11" t="n">
        <v>3</v>
      </c>
      <c r="Q13" s="11" t="n">
        <v>5</v>
      </c>
      <c r="R13" s="14" t="n">
        <v>1</v>
      </c>
      <c r="S13" s="8" t="n">
        <f aca="false">IF(E13="Ngoài HN",1,IF(E13="","",6-VALUE(E13)))</f>
        <v>4</v>
      </c>
      <c r="T13" s="11" t="n">
        <v>4</v>
      </c>
      <c r="U13" s="11" t="n">
        <v>4</v>
      </c>
      <c r="V13" s="21" t="n">
        <f aca="false">ROUND(SUMPRODUCT(K13:U13,$K$3:$U$3)/(5*SUM($K$3:$U$3))*100,1)</f>
        <v>70.8</v>
      </c>
      <c r="W13" s="22" t="str">
        <f aca="false">IF(E13="Ngoài HN","Đợt 4 – Ngoài HN",IF(V13&gt;='Trọng số'!$C$19,"Đợt 1",IF(V13&gt;='Trọng số'!$C$20,"Đợt 2","Đợt 3")))</f>
        <v>Đợt 1</v>
      </c>
      <c r="X13" s="23" t="str">
        <f aca="false">IF(K13&gt;=4,"LMS + số hóa học liệu",IF(K13=3,"Nâng cấp/thay LMS + số hóa học liệu","Số hóa học liệu, chạy trên LMS sẵn có"))&amp;IF(L13&gt;=4," + mô phỏng","")&amp;IF(M13&gt;=4," + ngoại ngữ","")</f>
        <v>Nâng cấp/thay LMS + số hóa học liệu + mô phỏng</v>
      </c>
      <c r="Y13" s="9" t="s">
        <v>287</v>
      </c>
      <c r="Z13" s="24" t="s">
        <v>300</v>
      </c>
      <c r="AA13" s="9" t="s">
        <v>301</v>
      </c>
      <c r="AB13" s="9" t="s">
        <v>302</v>
      </c>
      <c r="AC13" s="9" t="s">
        <v>303</v>
      </c>
    </row>
    <row r="14" customFormat="false" ht="75" hidden="false" customHeight="true" outlineLevel="0" collapsed="false">
      <c r="A14" s="8" t="n">
        <f aca="false">RANK(V14,$V$5:$V$101)</f>
        <v>10</v>
      </c>
      <c r="B14" s="7" t="s">
        <v>304</v>
      </c>
      <c r="C14" s="9" t="s">
        <v>226</v>
      </c>
      <c r="D14" s="9" t="s">
        <v>227</v>
      </c>
      <c r="E14" s="11" t="s">
        <v>282</v>
      </c>
      <c r="F14" s="9"/>
      <c r="G14" s="9" t="s">
        <v>305</v>
      </c>
      <c r="H14" s="9" t="s">
        <v>230</v>
      </c>
      <c r="I14" s="9" t="s">
        <v>231</v>
      </c>
      <c r="J14" s="9" t="s">
        <v>278</v>
      </c>
      <c r="K14" s="11" t="n">
        <v>3</v>
      </c>
      <c r="L14" s="11" t="n">
        <v>4</v>
      </c>
      <c r="M14" s="11" t="n">
        <v>4</v>
      </c>
      <c r="N14" s="11" t="n">
        <v>4</v>
      </c>
      <c r="O14" s="11" t="n">
        <v>5</v>
      </c>
      <c r="P14" s="11" t="n">
        <v>5</v>
      </c>
      <c r="Q14" s="11" t="n">
        <v>3</v>
      </c>
      <c r="R14" s="14" t="n">
        <v>1</v>
      </c>
      <c r="S14" s="8" t="n">
        <f aca="false">IF(E14="Ngoài HN",1,IF(E14="","",6-VALUE(E14)))</f>
        <v>4</v>
      </c>
      <c r="T14" s="11" t="n">
        <v>4</v>
      </c>
      <c r="U14" s="11" t="n">
        <v>3</v>
      </c>
      <c r="V14" s="21" t="n">
        <f aca="false">ROUND(SUMPRODUCT(K14:U14,$K$3:$U$3)/(5*SUM($K$3:$U$3))*100,1)</f>
        <v>70.6</v>
      </c>
      <c r="W14" s="22" t="str">
        <f aca="false">IF(E14="Ngoài HN","Đợt 4 – Ngoài HN",IF(V14&gt;='Trọng số'!$C$19,"Đợt 1",IF(V14&gt;='Trọng số'!$C$20,"Đợt 2","Đợt 3")))</f>
        <v>Đợt 1</v>
      </c>
      <c r="X14" s="23" t="str">
        <f aca="false">IF(K14&gt;=4,"LMS + số hóa học liệu",IF(K14=3,"Nâng cấp/thay LMS + số hóa học liệu","Số hóa học liệu, chạy trên LMS sẵn có"))&amp;IF(L14&gt;=4," + mô phỏng","")&amp;IF(M14&gt;=4," + ngoại ngữ","")</f>
        <v>Nâng cấp/thay LMS + số hóa học liệu + mô phỏng + ngoại ngữ</v>
      </c>
      <c r="Y14" s="9" t="s">
        <v>233</v>
      </c>
      <c r="Z14" s="24" t="s">
        <v>306</v>
      </c>
      <c r="AA14" s="9"/>
      <c r="AB14" s="9"/>
      <c r="AC14" s="9" t="s">
        <v>235</v>
      </c>
    </row>
    <row r="15" customFormat="false" ht="75" hidden="false" customHeight="true" outlineLevel="0" collapsed="false">
      <c r="A15" s="8" t="n">
        <f aca="false">RANK(V15,$V$5:$V$101)</f>
        <v>11</v>
      </c>
      <c r="B15" s="7" t="s">
        <v>307</v>
      </c>
      <c r="C15" s="9" t="s">
        <v>237</v>
      </c>
      <c r="D15" s="9" t="s">
        <v>227</v>
      </c>
      <c r="E15" s="11" t="s">
        <v>249</v>
      </c>
      <c r="F15" s="9" t="n">
        <v>13.5</v>
      </c>
      <c r="G15" s="9" t="s">
        <v>308</v>
      </c>
      <c r="H15" s="9" t="s">
        <v>309</v>
      </c>
      <c r="I15" s="9" t="s">
        <v>310</v>
      </c>
      <c r="J15" s="9" t="s">
        <v>311</v>
      </c>
      <c r="K15" s="11" t="n">
        <v>4</v>
      </c>
      <c r="L15" s="11" t="n">
        <v>5</v>
      </c>
      <c r="M15" s="11" t="n">
        <v>5</v>
      </c>
      <c r="N15" s="11" t="n">
        <v>4</v>
      </c>
      <c r="O15" s="11" t="n">
        <v>3</v>
      </c>
      <c r="P15" s="11" t="n">
        <v>5</v>
      </c>
      <c r="Q15" s="11" t="n">
        <v>2</v>
      </c>
      <c r="R15" s="14" t="n">
        <v>1</v>
      </c>
      <c r="S15" s="8" t="n">
        <f aca="false">IF(E15="Ngoài HN",1,IF(E15="","",6-VALUE(E15)))</f>
        <v>3</v>
      </c>
      <c r="T15" s="11" t="n">
        <v>4</v>
      </c>
      <c r="U15" s="11" t="n">
        <v>3</v>
      </c>
      <c r="V15" s="21" t="n">
        <f aca="false">ROUND(SUMPRODUCT(K15:U15,$K$3:$U$3)/(5*SUM($K$3:$U$3))*100,1)</f>
        <v>70.2</v>
      </c>
      <c r="W15" s="22" t="str">
        <f aca="false">IF(E15="Ngoài HN","Đợt 4 – Ngoài HN",IF(V15&gt;='Trọng số'!$C$19,"Đợt 1",IF(V15&gt;='Trọng số'!$C$20,"Đợt 2","Đợt 3")))</f>
        <v>Đợt 1</v>
      </c>
      <c r="X15" s="23" t="str">
        <f aca="false">IF(K15&gt;=4,"LMS + số hóa học liệu",IF(K15=3,"Nâng cấp/thay LMS + số hóa học liệu","Số hóa học liệu, chạy trên LMS sẵn có"))&amp;IF(L15&gt;=4," + mô phỏng","")&amp;IF(M15&gt;=4," + ngoại ngữ","")</f>
        <v>LMS + số hóa học liệu + mô phỏng + ngoại ngữ</v>
      </c>
      <c r="Y15" s="9" t="s">
        <v>260</v>
      </c>
      <c r="Z15" s="24" t="s">
        <v>312</v>
      </c>
      <c r="AA15" s="9"/>
      <c r="AB15" s="9" t="s">
        <v>313</v>
      </c>
      <c r="AC15" s="9" t="s">
        <v>314</v>
      </c>
    </row>
    <row r="16" customFormat="false" ht="75" hidden="false" customHeight="true" outlineLevel="0" collapsed="false">
      <c r="A16" s="8" t="n">
        <f aca="false">RANK(V16,$V$5:$V$101)</f>
        <v>11</v>
      </c>
      <c r="B16" s="7" t="s">
        <v>315</v>
      </c>
      <c r="C16" s="9" t="s">
        <v>226</v>
      </c>
      <c r="D16" s="9" t="s">
        <v>227</v>
      </c>
      <c r="E16" s="11" t="s">
        <v>228</v>
      </c>
      <c r="F16" s="9"/>
      <c r="G16" s="9" t="s">
        <v>316</v>
      </c>
      <c r="H16" s="9" t="s">
        <v>230</v>
      </c>
      <c r="I16" s="9" t="s">
        <v>231</v>
      </c>
      <c r="J16" s="9" t="s">
        <v>232</v>
      </c>
      <c r="K16" s="11" t="n">
        <v>3</v>
      </c>
      <c r="L16" s="11" t="n">
        <v>4</v>
      </c>
      <c r="M16" s="11" t="n">
        <v>4</v>
      </c>
      <c r="N16" s="11" t="n">
        <v>4</v>
      </c>
      <c r="O16" s="11" t="n">
        <v>4</v>
      </c>
      <c r="P16" s="11" t="n">
        <v>5</v>
      </c>
      <c r="Q16" s="11" t="n">
        <v>3</v>
      </c>
      <c r="R16" s="14" t="n">
        <v>1</v>
      </c>
      <c r="S16" s="8" t="n">
        <f aca="false">IF(E16="Ngoài HN",1,IF(E16="","",6-VALUE(E16)))</f>
        <v>5</v>
      </c>
      <c r="T16" s="11" t="n">
        <v>4</v>
      </c>
      <c r="U16" s="11" t="n">
        <v>3</v>
      </c>
      <c r="V16" s="21" t="n">
        <f aca="false">ROUND(SUMPRODUCT(K16:U16,$K$3:$U$3)/(5*SUM($K$3:$U$3))*100,1)</f>
        <v>70.2</v>
      </c>
      <c r="W16" s="22" t="str">
        <f aca="false">IF(E16="Ngoài HN","Đợt 4 – Ngoài HN",IF(V16&gt;='Trọng số'!$C$19,"Đợt 1",IF(V16&gt;='Trọng số'!$C$20,"Đợt 2","Đợt 3")))</f>
        <v>Đợt 1</v>
      </c>
      <c r="X16" s="23" t="str">
        <f aca="false">IF(K16&gt;=4,"LMS + số hóa học liệu",IF(K16=3,"Nâng cấp/thay LMS + số hóa học liệu","Số hóa học liệu, chạy trên LMS sẵn có"))&amp;IF(L16&gt;=4," + mô phỏng","")&amp;IF(M16&gt;=4," + ngoại ngữ","")</f>
        <v>Nâng cấp/thay LMS + số hóa học liệu + mô phỏng + ngoại ngữ</v>
      </c>
      <c r="Y16" s="9" t="s">
        <v>233</v>
      </c>
      <c r="Z16" s="24" t="s">
        <v>317</v>
      </c>
      <c r="AA16" s="9"/>
      <c r="AB16" s="9"/>
      <c r="AC16" s="9" t="s">
        <v>235</v>
      </c>
    </row>
    <row r="17" customFormat="false" ht="75" hidden="false" customHeight="true" outlineLevel="0" collapsed="false">
      <c r="A17" s="8" t="n">
        <f aca="false">RANK(V17,$V$5:$V$101)</f>
        <v>13</v>
      </c>
      <c r="B17" s="7" t="s">
        <v>318</v>
      </c>
      <c r="C17" s="9" t="s">
        <v>237</v>
      </c>
      <c r="D17" s="9" t="s">
        <v>227</v>
      </c>
      <c r="E17" s="11" t="s">
        <v>228</v>
      </c>
      <c r="F17" s="9" t="n">
        <v>2</v>
      </c>
      <c r="G17" s="9" t="s">
        <v>319</v>
      </c>
      <c r="H17" s="9" t="s">
        <v>320</v>
      </c>
      <c r="I17" s="9" t="s">
        <v>321</v>
      </c>
      <c r="J17" s="9" t="s">
        <v>311</v>
      </c>
      <c r="K17" s="11" t="n">
        <v>5</v>
      </c>
      <c r="L17" s="11" t="n">
        <v>4</v>
      </c>
      <c r="M17" s="11" t="n">
        <v>4</v>
      </c>
      <c r="N17" s="11" t="n">
        <v>4</v>
      </c>
      <c r="O17" s="11" t="n">
        <v>3</v>
      </c>
      <c r="P17" s="11" t="n">
        <v>5</v>
      </c>
      <c r="Q17" s="11" t="n">
        <v>2</v>
      </c>
      <c r="R17" s="14" t="n">
        <v>1</v>
      </c>
      <c r="S17" s="8" t="n">
        <f aca="false">IF(E17="Ngoài HN",1,IF(E17="","",6-VALUE(E17)))</f>
        <v>5</v>
      </c>
      <c r="T17" s="11" t="n">
        <v>3</v>
      </c>
      <c r="U17" s="11" t="n">
        <v>3</v>
      </c>
      <c r="V17" s="21" t="n">
        <f aca="false">ROUND(SUMPRODUCT(K17:U17,$K$3:$U$3)/(5*SUM($K$3:$U$3))*100,1)</f>
        <v>70</v>
      </c>
      <c r="W17" s="22" t="str">
        <f aca="false">IF(E17="Ngoài HN","Đợt 4 – Ngoài HN",IF(V17&gt;='Trọng số'!$C$19,"Đợt 1",IF(V17&gt;='Trọng số'!$C$20,"Đợt 2","Đợt 3")))</f>
        <v>Đợt 1</v>
      </c>
      <c r="X17" s="23" t="str">
        <f aca="false">IF(K17&gt;=4,"LMS + số hóa học liệu",IF(K17=3,"Nâng cấp/thay LMS + số hóa học liệu","Số hóa học liệu, chạy trên LMS sẵn có"))&amp;IF(L17&gt;=4," + mô phỏng","")&amp;IF(M17&gt;=4," + ngoại ngữ","")</f>
        <v>LMS + số hóa học liệu + mô phỏng + ngoại ngữ</v>
      </c>
      <c r="Y17" s="9" t="s">
        <v>260</v>
      </c>
      <c r="Z17" s="24" t="s">
        <v>322</v>
      </c>
      <c r="AA17" s="9"/>
      <c r="AB17" s="9" t="s">
        <v>323</v>
      </c>
      <c r="AC17" s="9" t="s">
        <v>324</v>
      </c>
    </row>
    <row r="18" customFormat="false" ht="75" hidden="false" customHeight="true" outlineLevel="0" collapsed="false">
      <c r="A18" s="8" t="n">
        <f aca="false">RANK(V18,$V$5:$V$101)</f>
        <v>13</v>
      </c>
      <c r="B18" s="7" t="s">
        <v>325</v>
      </c>
      <c r="C18" s="9" t="s">
        <v>237</v>
      </c>
      <c r="D18" s="9" t="s">
        <v>326</v>
      </c>
      <c r="E18" s="11" t="s">
        <v>228</v>
      </c>
      <c r="F18" s="9" t="n">
        <v>5</v>
      </c>
      <c r="G18" s="9" t="s">
        <v>327</v>
      </c>
      <c r="H18" s="9" t="s">
        <v>328</v>
      </c>
      <c r="I18" s="9" t="s">
        <v>329</v>
      </c>
      <c r="J18" s="9" t="s">
        <v>311</v>
      </c>
      <c r="K18" s="11" t="n">
        <v>5</v>
      </c>
      <c r="L18" s="11" t="n">
        <v>4</v>
      </c>
      <c r="M18" s="11" t="n">
        <v>4</v>
      </c>
      <c r="N18" s="11" t="n">
        <v>4</v>
      </c>
      <c r="O18" s="11" t="n">
        <v>3</v>
      </c>
      <c r="P18" s="11" t="n">
        <v>5</v>
      </c>
      <c r="Q18" s="11" t="n">
        <v>2</v>
      </c>
      <c r="R18" s="14" t="n">
        <v>1</v>
      </c>
      <c r="S18" s="8" t="n">
        <f aca="false">IF(E18="Ngoài HN",1,IF(E18="","",6-VALUE(E18)))</f>
        <v>5</v>
      </c>
      <c r="T18" s="11" t="n">
        <v>3</v>
      </c>
      <c r="U18" s="11" t="n">
        <v>3</v>
      </c>
      <c r="V18" s="21" t="n">
        <f aca="false">ROUND(SUMPRODUCT(K18:U18,$K$3:$U$3)/(5*SUM($K$3:$U$3))*100,1)</f>
        <v>70</v>
      </c>
      <c r="W18" s="22" t="str">
        <f aca="false">IF(E18="Ngoài HN","Đợt 4 – Ngoài HN",IF(V18&gt;='Trọng số'!$C$19,"Đợt 1",IF(V18&gt;='Trọng số'!$C$20,"Đợt 2","Đợt 3")))</f>
        <v>Đợt 1</v>
      </c>
      <c r="X18" s="23" t="str">
        <f aca="false">IF(K18&gt;=4,"LMS + số hóa học liệu",IF(K18=3,"Nâng cấp/thay LMS + số hóa học liệu","Số hóa học liệu, chạy trên LMS sẵn có"))&amp;IF(L18&gt;=4," + mô phỏng","")&amp;IF(M18&gt;=4," + ngoại ngữ","")</f>
        <v>LMS + số hóa học liệu + mô phỏng + ngoại ngữ</v>
      </c>
      <c r="Y18" s="9" t="s">
        <v>330</v>
      </c>
      <c r="Z18" s="24" t="s">
        <v>331</v>
      </c>
      <c r="AA18" s="9"/>
      <c r="AB18" s="9" t="s">
        <v>332</v>
      </c>
      <c r="AC18" s="9" t="s">
        <v>333</v>
      </c>
    </row>
    <row r="19" customFormat="false" ht="75" hidden="false" customHeight="true" outlineLevel="0" collapsed="false">
      <c r="A19" s="8" t="n">
        <f aca="false">RANK(V19,$V$5:$V$101)</f>
        <v>13</v>
      </c>
      <c r="B19" s="7" t="s">
        <v>334</v>
      </c>
      <c r="C19" s="9" t="s">
        <v>226</v>
      </c>
      <c r="D19" s="9" t="s">
        <v>335</v>
      </c>
      <c r="E19" s="11" t="s">
        <v>282</v>
      </c>
      <c r="F19" s="9"/>
      <c r="G19" s="9" t="s">
        <v>336</v>
      </c>
      <c r="H19" s="9" t="s">
        <v>230</v>
      </c>
      <c r="I19" s="9" t="s">
        <v>231</v>
      </c>
      <c r="J19" s="9" t="s">
        <v>278</v>
      </c>
      <c r="K19" s="11" t="n">
        <v>3</v>
      </c>
      <c r="L19" s="11" t="n">
        <v>5</v>
      </c>
      <c r="M19" s="11" t="n">
        <v>4</v>
      </c>
      <c r="N19" s="11" t="n">
        <v>4</v>
      </c>
      <c r="O19" s="11" t="n">
        <v>5</v>
      </c>
      <c r="P19" s="11" t="n">
        <v>3</v>
      </c>
      <c r="Q19" s="11" t="n">
        <v>3</v>
      </c>
      <c r="R19" s="14" t="n">
        <v>1</v>
      </c>
      <c r="S19" s="8" t="n">
        <f aca="false">IF(E19="Ngoài HN",1,IF(E19="","",6-VALUE(E19)))</f>
        <v>4</v>
      </c>
      <c r="T19" s="11" t="n">
        <v>4</v>
      </c>
      <c r="U19" s="11" t="n">
        <v>4</v>
      </c>
      <c r="V19" s="21" t="n">
        <f aca="false">ROUND(SUMPRODUCT(K19:U19,$K$3:$U$3)/(5*SUM($K$3:$U$3))*100,1)</f>
        <v>70</v>
      </c>
      <c r="W19" s="22" t="str">
        <f aca="false">IF(E19="Ngoài HN","Đợt 4 – Ngoài HN",IF(V19&gt;='Trọng số'!$C$19,"Đợt 1",IF(V19&gt;='Trọng số'!$C$20,"Đợt 2","Đợt 3")))</f>
        <v>Đợt 1</v>
      </c>
      <c r="X19" s="23" t="str">
        <f aca="false">IF(K19&gt;=4,"LMS + số hóa học liệu",IF(K19=3,"Nâng cấp/thay LMS + số hóa học liệu","Số hóa học liệu, chạy trên LMS sẵn có"))&amp;IF(L19&gt;=4," + mô phỏng","")&amp;IF(M19&gt;=4," + ngoại ngữ","")</f>
        <v>Nâng cấp/thay LMS + số hóa học liệu + mô phỏng + ngoại ngữ</v>
      </c>
      <c r="Y19" s="9" t="s">
        <v>233</v>
      </c>
      <c r="Z19" s="24" t="s">
        <v>337</v>
      </c>
      <c r="AA19" s="9"/>
      <c r="AB19" s="9"/>
      <c r="AC19" s="9" t="s">
        <v>235</v>
      </c>
    </row>
    <row r="20" customFormat="false" ht="75" hidden="false" customHeight="true" outlineLevel="0" collapsed="false">
      <c r="A20" s="8" t="n">
        <f aca="false">RANK(V20,$V$5:$V$101)</f>
        <v>13</v>
      </c>
      <c r="B20" s="7" t="s">
        <v>338</v>
      </c>
      <c r="C20" s="9" t="s">
        <v>226</v>
      </c>
      <c r="D20" s="9" t="s">
        <v>339</v>
      </c>
      <c r="E20" s="11" t="s">
        <v>249</v>
      </c>
      <c r="F20" s="9"/>
      <c r="G20" s="9" t="s">
        <v>340</v>
      </c>
      <c r="H20" s="9" t="s">
        <v>230</v>
      </c>
      <c r="I20" s="9" t="s">
        <v>231</v>
      </c>
      <c r="J20" s="9" t="s">
        <v>278</v>
      </c>
      <c r="K20" s="11" t="n">
        <v>3</v>
      </c>
      <c r="L20" s="11" t="n">
        <v>4</v>
      </c>
      <c r="M20" s="11" t="n">
        <v>4</v>
      </c>
      <c r="N20" s="11" t="n">
        <v>4</v>
      </c>
      <c r="O20" s="11" t="n">
        <v>4</v>
      </c>
      <c r="P20" s="11" t="n">
        <v>4</v>
      </c>
      <c r="Q20" s="11" t="n">
        <v>3</v>
      </c>
      <c r="R20" s="14" t="n">
        <v>1</v>
      </c>
      <c r="S20" s="8" t="n">
        <f aca="false">IF(E20="Ngoài HN",1,IF(E20="","",6-VALUE(E20)))</f>
        <v>3</v>
      </c>
      <c r="T20" s="11" t="n">
        <v>5</v>
      </c>
      <c r="U20" s="11" t="n">
        <v>5</v>
      </c>
      <c r="V20" s="21" t="n">
        <f aca="false">ROUND(SUMPRODUCT(K20:U20,$K$3:$U$3)/(5*SUM($K$3:$U$3))*100,1)</f>
        <v>70</v>
      </c>
      <c r="W20" s="22" t="str">
        <f aca="false">IF(E20="Ngoài HN","Đợt 4 – Ngoài HN",IF(V20&gt;='Trọng số'!$C$19,"Đợt 1",IF(V20&gt;='Trọng số'!$C$20,"Đợt 2","Đợt 3")))</f>
        <v>Đợt 1</v>
      </c>
      <c r="X20" s="23" t="str">
        <f aca="false">IF(K20&gt;=4,"LMS + số hóa học liệu",IF(K20=3,"Nâng cấp/thay LMS + số hóa học liệu","Số hóa học liệu, chạy trên LMS sẵn có"))&amp;IF(L20&gt;=4," + mô phỏng","")&amp;IF(M20&gt;=4," + ngoại ngữ","")</f>
        <v>Nâng cấp/thay LMS + số hóa học liệu + mô phỏng + ngoại ngữ</v>
      </c>
      <c r="Y20" s="9" t="s">
        <v>233</v>
      </c>
      <c r="Z20" s="24" t="s">
        <v>341</v>
      </c>
      <c r="AA20" s="9"/>
      <c r="AB20" s="9"/>
      <c r="AC20" s="9" t="s">
        <v>235</v>
      </c>
    </row>
    <row r="21" customFormat="false" ht="75" hidden="false" customHeight="true" outlineLevel="0" collapsed="false">
      <c r="A21" s="8" t="n">
        <f aca="false">RANK(V21,$V$5:$V$101)</f>
        <v>17</v>
      </c>
      <c r="B21" s="7" t="s">
        <v>342</v>
      </c>
      <c r="C21" s="9" t="s">
        <v>226</v>
      </c>
      <c r="D21" s="9" t="s">
        <v>275</v>
      </c>
      <c r="E21" s="11" t="s">
        <v>228</v>
      </c>
      <c r="F21" s="9"/>
      <c r="G21" s="9" t="s">
        <v>343</v>
      </c>
      <c r="H21" s="9" t="s">
        <v>277</v>
      </c>
      <c r="I21" s="9" t="s">
        <v>231</v>
      </c>
      <c r="J21" s="9" t="s">
        <v>232</v>
      </c>
      <c r="K21" s="11" t="n">
        <v>2</v>
      </c>
      <c r="L21" s="11" t="n">
        <v>4</v>
      </c>
      <c r="M21" s="11" t="n">
        <v>5</v>
      </c>
      <c r="N21" s="11" t="n">
        <v>3</v>
      </c>
      <c r="O21" s="11" t="n">
        <v>5</v>
      </c>
      <c r="P21" s="11" t="n">
        <v>4</v>
      </c>
      <c r="Q21" s="11" t="n">
        <v>3</v>
      </c>
      <c r="R21" s="14" t="n">
        <v>1</v>
      </c>
      <c r="S21" s="8" t="n">
        <f aca="false">IF(E21="Ngoài HN",1,IF(E21="","",6-VALUE(E21)))</f>
        <v>5</v>
      </c>
      <c r="T21" s="11" t="n">
        <v>5</v>
      </c>
      <c r="U21" s="11" t="n">
        <v>4</v>
      </c>
      <c r="V21" s="21" t="n">
        <f aca="false">ROUND(SUMPRODUCT(K21:U21,$K$3:$U$3)/(5*SUM($K$3:$U$3))*100,1)</f>
        <v>69.8</v>
      </c>
      <c r="W21" s="22" t="str">
        <f aca="false">IF(E21="Ngoài HN","Đợt 4 – Ngoài HN",IF(V21&gt;='Trọng số'!$C$19,"Đợt 1",IF(V21&gt;='Trọng số'!$C$20,"Đợt 2","Đợt 3")))</f>
        <v>Đợt 2</v>
      </c>
      <c r="X21" s="23" t="str">
        <f aca="false">IF(K21&gt;=4,"LMS + số hóa học liệu",IF(K21=3,"Nâng cấp/thay LMS + số hóa học liệu","Số hóa học liệu, chạy trên LMS sẵn có"))&amp;IF(L21&gt;=4," + mô phỏng","")&amp;IF(M21&gt;=4," + ngoại ngữ","")</f>
        <v>Số hóa học liệu, chạy trên LMS sẵn có + mô phỏng + ngoại ngữ</v>
      </c>
      <c r="Y21" s="9" t="s">
        <v>233</v>
      </c>
      <c r="Z21" s="24" t="s">
        <v>344</v>
      </c>
      <c r="AA21" s="9" t="s">
        <v>345</v>
      </c>
      <c r="AB21" s="9"/>
      <c r="AC21" s="9" t="s">
        <v>235</v>
      </c>
    </row>
    <row r="22" customFormat="false" ht="75" hidden="false" customHeight="true" outlineLevel="0" collapsed="false">
      <c r="A22" s="8" t="n">
        <f aca="false">RANK(V22,$V$5:$V$101)</f>
        <v>18</v>
      </c>
      <c r="B22" s="7" t="s">
        <v>346</v>
      </c>
      <c r="C22" s="9" t="s">
        <v>237</v>
      </c>
      <c r="D22" s="9" t="s">
        <v>227</v>
      </c>
      <c r="E22" s="11" t="s">
        <v>228</v>
      </c>
      <c r="F22" s="9" t="n">
        <v>4.5</v>
      </c>
      <c r="G22" s="9" t="s">
        <v>347</v>
      </c>
      <c r="H22" s="9" t="s">
        <v>348</v>
      </c>
      <c r="I22" s="9" t="s">
        <v>349</v>
      </c>
      <c r="J22" s="9" t="s">
        <v>311</v>
      </c>
      <c r="K22" s="11" t="n">
        <v>3</v>
      </c>
      <c r="L22" s="11" t="n">
        <v>4</v>
      </c>
      <c r="M22" s="11" t="n">
        <v>4</v>
      </c>
      <c r="N22" s="11" t="n">
        <v>4</v>
      </c>
      <c r="O22" s="11" t="n">
        <v>4</v>
      </c>
      <c r="P22" s="11" t="n">
        <v>5</v>
      </c>
      <c r="Q22" s="11" t="n">
        <v>2</v>
      </c>
      <c r="R22" s="14" t="n">
        <v>1</v>
      </c>
      <c r="S22" s="8" t="n">
        <f aca="false">IF(E22="Ngoài HN",1,IF(E22="","",6-VALUE(E22)))</f>
        <v>5</v>
      </c>
      <c r="T22" s="11" t="n">
        <v>5</v>
      </c>
      <c r="U22" s="11" t="n">
        <v>3</v>
      </c>
      <c r="V22" s="21" t="n">
        <f aca="false">ROUND(SUMPRODUCT(K22:U22,$K$3:$U$3)/(5*SUM($K$3:$U$3))*100,1)</f>
        <v>69.6</v>
      </c>
      <c r="W22" s="22" t="str">
        <f aca="false">IF(E22="Ngoài HN","Đợt 4 – Ngoài HN",IF(V22&gt;='Trọng số'!$C$19,"Đợt 1",IF(V22&gt;='Trọng số'!$C$20,"Đợt 2","Đợt 3")))</f>
        <v>Đợt 2</v>
      </c>
      <c r="X22" s="23" t="str">
        <f aca="false">IF(K22&gt;=4,"LMS + số hóa học liệu",IF(K22=3,"Nâng cấp/thay LMS + số hóa học liệu","Số hóa học liệu, chạy trên LMS sẵn có"))&amp;IF(L22&gt;=4," + mô phỏng","")&amp;IF(M22&gt;=4," + ngoại ngữ","")</f>
        <v>Nâng cấp/thay LMS + số hóa học liệu + mô phỏng + ngoại ngữ</v>
      </c>
      <c r="Y22" s="9" t="s">
        <v>260</v>
      </c>
      <c r="Z22" s="24" t="s">
        <v>350</v>
      </c>
      <c r="AA22" s="9"/>
      <c r="AB22" s="9" t="s">
        <v>351</v>
      </c>
      <c r="AC22" s="9" t="s">
        <v>352</v>
      </c>
    </row>
    <row r="23" customFormat="false" ht="75" hidden="false" customHeight="true" outlineLevel="0" collapsed="false">
      <c r="A23" s="8" t="n">
        <f aca="false">RANK(V23,$V$5:$V$101)</f>
        <v>18</v>
      </c>
      <c r="B23" s="7" t="s">
        <v>353</v>
      </c>
      <c r="C23" s="9" t="s">
        <v>237</v>
      </c>
      <c r="D23" s="9" t="s">
        <v>227</v>
      </c>
      <c r="E23" s="11" t="s">
        <v>249</v>
      </c>
      <c r="F23" s="9" t="n">
        <v>14</v>
      </c>
      <c r="G23" s="9" t="s">
        <v>354</v>
      </c>
      <c r="H23" s="9" t="s">
        <v>355</v>
      </c>
      <c r="I23" s="9" t="s">
        <v>356</v>
      </c>
      <c r="J23" s="9" t="s">
        <v>311</v>
      </c>
      <c r="K23" s="11" t="n">
        <v>5</v>
      </c>
      <c r="L23" s="11" t="n">
        <v>5</v>
      </c>
      <c r="M23" s="11" t="n">
        <v>4</v>
      </c>
      <c r="N23" s="11" t="n">
        <v>4</v>
      </c>
      <c r="O23" s="11" t="n">
        <v>3</v>
      </c>
      <c r="P23" s="11" t="n">
        <v>5</v>
      </c>
      <c r="Q23" s="11" t="n">
        <v>2</v>
      </c>
      <c r="R23" s="14" t="n">
        <v>1</v>
      </c>
      <c r="S23" s="8" t="n">
        <f aca="false">IF(E23="Ngoài HN",1,IF(E23="","",6-VALUE(E23)))</f>
        <v>3</v>
      </c>
      <c r="T23" s="11" t="n">
        <v>3</v>
      </c>
      <c r="U23" s="11" t="n">
        <v>3</v>
      </c>
      <c r="V23" s="21" t="n">
        <f aca="false">ROUND(SUMPRODUCT(K23:U23,$K$3:$U$3)/(5*SUM($K$3:$U$3))*100,1)</f>
        <v>69.6</v>
      </c>
      <c r="W23" s="22" t="str">
        <f aca="false">IF(E23="Ngoài HN","Đợt 4 – Ngoài HN",IF(V23&gt;='Trọng số'!$C$19,"Đợt 1",IF(V23&gt;='Trọng số'!$C$20,"Đợt 2","Đợt 3")))</f>
        <v>Đợt 2</v>
      </c>
      <c r="X23" s="23" t="str">
        <f aca="false">IF(K23&gt;=4,"LMS + số hóa học liệu",IF(K23=3,"Nâng cấp/thay LMS + số hóa học liệu","Số hóa học liệu, chạy trên LMS sẵn có"))&amp;IF(L23&gt;=4," + mô phỏng","")&amp;IF(M23&gt;=4," + ngoại ngữ","")</f>
        <v>LMS + số hóa học liệu + mô phỏng + ngoại ngữ</v>
      </c>
      <c r="Y23" s="9" t="s">
        <v>260</v>
      </c>
      <c r="Z23" s="24" t="s">
        <v>357</v>
      </c>
      <c r="AA23" s="9"/>
      <c r="AB23" s="9" t="s">
        <v>358</v>
      </c>
      <c r="AC23" s="9" t="s">
        <v>359</v>
      </c>
    </row>
    <row r="24" customFormat="false" ht="75" hidden="false" customHeight="true" outlineLevel="0" collapsed="false">
      <c r="A24" s="8" t="n">
        <f aca="false">RANK(V24,$V$5:$V$101)</f>
        <v>20</v>
      </c>
      <c r="B24" s="7" t="s">
        <v>360</v>
      </c>
      <c r="C24" s="9" t="s">
        <v>237</v>
      </c>
      <c r="D24" s="9" t="s">
        <v>326</v>
      </c>
      <c r="E24" s="11" t="s">
        <v>228</v>
      </c>
      <c r="F24" s="9" t="n">
        <v>4.8</v>
      </c>
      <c r="G24" s="9" t="s">
        <v>361</v>
      </c>
      <c r="H24" s="9" t="s">
        <v>362</v>
      </c>
      <c r="I24" s="9" t="s">
        <v>363</v>
      </c>
      <c r="J24" s="9" t="s">
        <v>311</v>
      </c>
      <c r="K24" s="11" t="n">
        <v>4</v>
      </c>
      <c r="L24" s="11" t="n">
        <v>4</v>
      </c>
      <c r="M24" s="11" t="n">
        <v>4</v>
      </c>
      <c r="N24" s="11" t="n">
        <v>4</v>
      </c>
      <c r="O24" s="11" t="n">
        <v>3</v>
      </c>
      <c r="P24" s="11" t="n">
        <v>5</v>
      </c>
      <c r="Q24" s="11" t="n">
        <v>2</v>
      </c>
      <c r="R24" s="14" t="n">
        <v>1</v>
      </c>
      <c r="S24" s="8" t="n">
        <f aca="false">IF(E24="Ngoài HN",1,IF(E24="","",6-VALUE(E24)))</f>
        <v>5</v>
      </c>
      <c r="T24" s="11" t="n">
        <v>4</v>
      </c>
      <c r="U24" s="11" t="n">
        <v>3</v>
      </c>
      <c r="V24" s="21" t="n">
        <f aca="false">ROUND(SUMPRODUCT(K24:U24,$K$3:$U$3)/(5*SUM($K$3:$U$3))*100,1)</f>
        <v>69</v>
      </c>
      <c r="W24" s="22" t="str">
        <f aca="false">IF(E24="Ngoài HN","Đợt 4 – Ngoài HN",IF(V24&gt;='Trọng số'!$C$19,"Đợt 1",IF(V24&gt;='Trọng số'!$C$20,"Đợt 2","Đợt 3")))</f>
        <v>Đợt 2</v>
      </c>
      <c r="X24" s="23" t="str">
        <f aca="false">IF(K24&gt;=4,"LMS + số hóa học liệu",IF(K24=3,"Nâng cấp/thay LMS + số hóa học liệu","Số hóa học liệu, chạy trên LMS sẵn có"))&amp;IF(L24&gt;=4," + mô phỏng","")&amp;IF(M24&gt;=4," + ngoại ngữ","")</f>
        <v>LMS + số hóa học liệu + mô phỏng + ngoại ngữ</v>
      </c>
      <c r="Y24" s="9" t="s">
        <v>330</v>
      </c>
      <c r="Z24" s="24" t="s">
        <v>364</v>
      </c>
      <c r="AA24" s="9"/>
      <c r="AB24" s="9" t="s">
        <v>365</v>
      </c>
      <c r="AC24" s="9" t="s">
        <v>366</v>
      </c>
    </row>
    <row r="25" customFormat="false" ht="75" hidden="false" customHeight="true" outlineLevel="0" collapsed="false">
      <c r="A25" s="8" t="n">
        <f aca="false">RANK(V25,$V$5:$V$101)</f>
        <v>20</v>
      </c>
      <c r="B25" s="7" t="s">
        <v>367</v>
      </c>
      <c r="C25" s="9" t="s">
        <v>226</v>
      </c>
      <c r="D25" s="9" t="s">
        <v>227</v>
      </c>
      <c r="E25" s="11" t="s">
        <v>282</v>
      </c>
      <c r="F25" s="9"/>
      <c r="G25" s="9" t="s">
        <v>368</v>
      </c>
      <c r="H25" s="9" t="s">
        <v>230</v>
      </c>
      <c r="I25" s="9" t="s">
        <v>231</v>
      </c>
      <c r="J25" s="9" t="s">
        <v>278</v>
      </c>
      <c r="K25" s="11" t="n">
        <v>3</v>
      </c>
      <c r="L25" s="11" t="n">
        <v>4</v>
      </c>
      <c r="M25" s="11" t="n">
        <v>4</v>
      </c>
      <c r="N25" s="11" t="n">
        <v>4</v>
      </c>
      <c r="O25" s="11" t="n">
        <v>4</v>
      </c>
      <c r="P25" s="11" t="n">
        <v>5</v>
      </c>
      <c r="Q25" s="11" t="n">
        <v>3</v>
      </c>
      <c r="R25" s="14" t="n">
        <v>1</v>
      </c>
      <c r="S25" s="8" t="n">
        <f aca="false">IF(E25="Ngoài HN",1,IF(E25="","",6-VALUE(E25)))</f>
        <v>4</v>
      </c>
      <c r="T25" s="11" t="n">
        <v>4</v>
      </c>
      <c r="U25" s="11" t="n">
        <v>3</v>
      </c>
      <c r="V25" s="21" t="n">
        <f aca="false">ROUND(SUMPRODUCT(K25:U25,$K$3:$U$3)/(5*SUM($K$3:$U$3))*100,1)</f>
        <v>69</v>
      </c>
      <c r="W25" s="22" t="str">
        <f aca="false">IF(E25="Ngoài HN","Đợt 4 – Ngoài HN",IF(V25&gt;='Trọng số'!$C$19,"Đợt 1",IF(V25&gt;='Trọng số'!$C$20,"Đợt 2","Đợt 3")))</f>
        <v>Đợt 2</v>
      </c>
      <c r="X25" s="23" t="str">
        <f aca="false">IF(K25&gt;=4,"LMS + số hóa học liệu",IF(K25=3,"Nâng cấp/thay LMS + số hóa học liệu","Số hóa học liệu, chạy trên LMS sẵn có"))&amp;IF(L25&gt;=4," + mô phỏng","")&amp;IF(M25&gt;=4," + ngoại ngữ","")</f>
        <v>Nâng cấp/thay LMS + số hóa học liệu + mô phỏng + ngoại ngữ</v>
      </c>
      <c r="Y25" s="9" t="s">
        <v>233</v>
      </c>
      <c r="Z25" s="24" t="s">
        <v>369</v>
      </c>
      <c r="AA25" s="9"/>
      <c r="AB25" s="9"/>
      <c r="AC25" s="9" t="s">
        <v>235</v>
      </c>
    </row>
    <row r="26" customFormat="false" ht="75" hidden="false" customHeight="true" outlineLevel="0" collapsed="false">
      <c r="A26" s="8" t="n">
        <f aca="false">RANK(V26,$V$5:$V$101)</f>
        <v>20</v>
      </c>
      <c r="B26" s="7" t="s">
        <v>370</v>
      </c>
      <c r="C26" s="9" t="s">
        <v>226</v>
      </c>
      <c r="D26" s="9" t="s">
        <v>371</v>
      </c>
      <c r="E26" s="11" t="s">
        <v>282</v>
      </c>
      <c r="F26" s="9"/>
      <c r="G26" s="9" t="s">
        <v>372</v>
      </c>
      <c r="H26" s="9" t="s">
        <v>277</v>
      </c>
      <c r="I26" s="9" t="s">
        <v>231</v>
      </c>
      <c r="J26" s="9" t="s">
        <v>278</v>
      </c>
      <c r="K26" s="11" t="n">
        <v>2</v>
      </c>
      <c r="L26" s="11" t="n">
        <v>3</v>
      </c>
      <c r="M26" s="11" t="n">
        <v>4</v>
      </c>
      <c r="N26" s="11" t="n">
        <v>5</v>
      </c>
      <c r="O26" s="11" t="n">
        <v>5</v>
      </c>
      <c r="P26" s="11" t="n">
        <v>4</v>
      </c>
      <c r="Q26" s="11" t="n">
        <v>3</v>
      </c>
      <c r="R26" s="14" t="n">
        <v>1</v>
      </c>
      <c r="S26" s="8" t="n">
        <f aca="false">IF(E26="Ngoài HN",1,IF(E26="","",6-VALUE(E26)))</f>
        <v>4</v>
      </c>
      <c r="T26" s="11" t="n">
        <v>5</v>
      </c>
      <c r="U26" s="11" t="n">
        <v>4</v>
      </c>
      <c r="V26" s="21" t="n">
        <f aca="false">ROUND(SUMPRODUCT(K26:U26,$K$3:$U$3)/(5*SUM($K$3:$U$3))*100,1)</f>
        <v>69</v>
      </c>
      <c r="W26" s="22" t="str">
        <f aca="false">IF(E26="Ngoài HN","Đợt 4 – Ngoài HN",IF(V26&gt;='Trọng số'!$C$19,"Đợt 1",IF(V26&gt;='Trọng số'!$C$20,"Đợt 2","Đợt 3")))</f>
        <v>Đợt 2</v>
      </c>
      <c r="X26" s="23" t="str">
        <f aca="false">IF(K26&gt;=4,"LMS + số hóa học liệu",IF(K26=3,"Nâng cấp/thay LMS + số hóa học liệu","Số hóa học liệu, chạy trên LMS sẵn có"))&amp;IF(L26&gt;=4," + mô phỏng","")&amp;IF(M26&gt;=4," + ngoại ngữ","")</f>
        <v>Số hóa học liệu, chạy trên LMS sẵn có + ngoại ngữ</v>
      </c>
      <c r="Y26" s="9" t="s">
        <v>233</v>
      </c>
      <c r="Z26" s="24" t="s">
        <v>373</v>
      </c>
      <c r="AA26" s="9" t="s">
        <v>374</v>
      </c>
      <c r="AB26" s="9"/>
      <c r="AC26" s="9" t="s">
        <v>235</v>
      </c>
    </row>
    <row r="27" customFormat="false" ht="75" hidden="false" customHeight="true" outlineLevel="0" collapsed="false">
      <c r="A27" s="8" t="n">
        <f aca="false">RANK(V27,$V$5:$V$101)</f>
        <v>23</v>
      </c>
      <c r="B27" s="7" t="s">
        <v>375</v>
      </c>
      <c r="C27" s="9" t="s">
        <v>226</v>
      </c>
      <c r="D27" s="9" t="s">
        <v>376</v>
      </c>
      <c r="E27" s="11" t="s">
        <v>282</v>
      </c>
      <c r="F27" s="9"/>
      <c r="G27" s="9" t="s">
        <v>377</v>
      </c>
      <c r="H27" s="9" t="s">
        <v>230</v>
      </c>
      <c r="I27" s="9" t="s">
        <v>231</v>
      </c>
      <c r="J27" s="9" t="s">
        <v>278</v>
      </c>
      <c r="K27" s="11" t="n">
        <v>3</v>
      </c>
      <c r="L27" s="11" t="n">
        <v>5</v>
      </c>
      <c r="M27" s="11" t="n">
        <v>4</v>
      </c>
      <c r="N27" s="11" t="n">
        <v>4</v>
      </c>
      <c r="O27" s="11" t="n">
        <v>5</v>
      </c>
      <c r="P27" s="11" t="n">
        <v>3</v>
      </c>
      <c r="Q27" s="11" t="n">
        <v>3</v>
      </c>
      <c r="R27" s="14" t="n">
        <v>1</v>
      </c>
      <c r="S27" s="8" t="n">
        <f aca="false">IF(E27="Ngoài HN",1,IF(E27="","",6-VALUE(E27)))</f>
        <v>4</v>
      </c>
      <c r="T27" s="11" t="n">
        <v>4</v>
      </c>
      <c r="U27" s="11" t="n">
        <v>3</v>
      </c>
      <c r="V27" s="21" t="n">
        <f aca="false">ROUND(SUMPRODUCT(K27:U27,$K$3:$U$3)/(5*SUM($K$3:$U$3))*100,1)</f>
        <v>68.6</v>
      </c>
      <c r="W27" s="22" t="str">
        <f aca="false">IF(E27="Ngoài HN","Đợt 4 – Ngoài HN",IF(V27&gt;='Trọng số'!$C$19,"Đợt 1",IF(V27&gt;='Trọng số'!$C$20,"Đợt 2","Đợt 3")))</f>
        <v>Đợt 2</v>
      </c>
      <c r="X27" s="23" t="str">
        <f aca="false">IF(K27&gt;=4,"LMS + số hóa học liệu",IF(K27=3,"Nâng cấp/thay LMS + số hóa học liệu","Số hóa học liệu, chạy trên LMS sẵn có"))&amp;IF(L27&gt;=4," + mô phỏng","")&amp;IF(M27&gt;=4," + ngoại ngữ","")</f>
        <v>Nâng cấp/thay LMS + số hóa học liệu + mô phỏng + ngoại ngữ</v>
      </c>
      <c r="Y27" s="9" t="s">
        <v>233</v>
      </c>
      <c r="Z27" s="24" t="s">
        <v>378</v>
      </c>
      <c r="AA27" s="9"/>
      <c r="AB27" s="9"/>
      <c r="AC27" s="9" t="s">
        <v>235</v>
      </c>
    </row>
    <row r="28" customFormat="false" ht="75" hidden="false" customHeight="true" outlineLevel="0" collapsed="false">
      <c r="A28" s="8" t="n">
        <f aca="false">RANK(V28,$V$5:$V$101)</f>
        <v>23</v>
      </c>
      <c r="B28" s="7" t="s">
        <v>379</v>
      </c>
      <c r="C28" s="9" t="s">
        <v>226</v>
      </c>
      <c r="D28" s="9" t="s">
        <v>275</v>
      </c>
      <c r="E28" s="11" t="s">
        <v>380</v>
      </c>
      <c r="F28" s="9"/>
      <c r="G28" s="9" t="s">
        <v>381</v>
      </c>
      <c r="H28" s="9" t="s">
        <v>277</v>
      </c>
      <c r="I28" s="9" t="s">
        <v>231</v>
      </c>
      <c r="J28" s="9" t="s">
        <v>278</v>
      </c>
      <c r="K28" s="11" t="n">
        <v>2</v>
      </c>
      <c r="L28" s="11" t="n">
        <v>5</v>
      </c>
      <c r="M28" s="11" t="n">
        <v>4</v>
      </c>
      <c r="N28" s="11" t="n">
        <v>4</v>
      </c>
      <c r="O28" s="11" t="n">
        <v>5</v>
      </c>
      <c r="P28" s="11" t="n">
        <v>4</v>
      </c>
      <c r="Q28" s="11" t="n">
        <v>3</v>
      </c>
      <c r="R28" s="14" t="n">
        <v>1</v>
      </c>
      <c r="S28" s="8" t="n">
        <f aca="false">IF(E28="Ngoài HN",1,IF(E28="","",6-VALUE(E28)))</f>
        <v>2</v>
      </c>
      <c r="T28" s="11" t="n">
        <v>5</v>
      </c>
      <c r="U28" s="11" t="n">
        <v>4</v>
      </c>
      <c r="V28" s="21" t="n">
        <f aca="false">ROUND(SUMPRODUCT(K28:U28,$K$3:$U$3)/(5*SUM($K$3:$U$3))*100,1)</f>
        <v>68.6</v>
      </c>
      <c r="W28" s="22" t="str">
        <f aca="false">IF(E28="Ngoài HN","Đợt 4 – Ngoài HN",IF(V28&gt;='Trọng số'!$C$19,"Đợt 1",IF(V28&gt;='Trọng số'!$C$20,"Đợt 2","Đợt 3")))</f>
        <v>Đợt 2</v>
      </c>
      <c r="X28" s="23" t="str">
        <f aca="false">IF(K28&gt;=4,"LMS + số hóa học liệu",IF(K28=3,"Nâng cấp/thay LMS + số hóa học liệu","Số hóa học liệu, chạy trên LMS sẵn có"))&amp;IF(L28&gt;=4," + mô phỏng","")&amp;IF(M28&gt;=4," + ngoại ngữ","")</f>
        <v>Số hóa học liệu, chạy trên LMS sẵn có + mô phỏng + ngoại ngữ</v>
      </c>
      <c r="Y28" s="9" t="s">
        <v>233</v>
      </c>
      <c r="Z28" s="24" t="s">
        <v>382</v>
      </c>
      <c r="AA28" s="9"/>
      <c r="AB28" s="9"/>
      <c r="AC28" s="9" t="s">
        <v>235</v>
      </c>
    </row>
    <row r="29" customFormat="false" ht="75" hidden="false" customHeight="true" outlineLevel="0" collapsed="false">
      <c r="A29" s="8" t="n">
        <f aca="false">RANK(V29,$V$5:$V$101)</f>
        <v>25</v>
      </c>
      <c r="B29" s="7" t="s">
        <v>383</v>
      </c>
      <c r="C29" s="9" t="s">
        <v>384</v>
      </c>
      <c r="D29" s="9" t="s">
        <v>385</v>
      </c>
      <c r="E29" s="11" t="s">
        <v>228</v>
      </c>
      <c r="F29" s="9"/>
      <c r="G29" s="9" t="s">
        <v>386</v>
      </c>
      <c r="H29" s="9" t="s">
        <v>231</v>
      </c>
      <c r="I29" s="9" t="s">
        <v>231</v>
      </c>
      <c r="J29" s="9" t="s">
        <v>387</v>
      </c>
      <c r="K29" s="11" t="n">
        <v>5</v>
      </c>
      <c r="L29" s="11" t="n">
        <v>3</v>
      </c>
      <c r="M29" s="11" t="n">
        <v>3</v>
      </c>
      <c r="N29" s="11" t="n">
        <v>5</v>
      </c>
      <c r="O29" s="11" t="n">
        <v>3</v>
      </c>
      <c r="P29" s="11" t="n">
        <v>2</v>
      </c>
      <c r="Q29" s="11" t="n">
        <v>5</v>
      </c>
      <c r="R29" s="14" t="n">
        <v>1</v>
      </c>
      <c r="S29" s="8" t="n">
        <f aca="false">IF(E29="Ngoài HN",1,IF(E29="","",6-VALUE(E29)))</f>
        <v>5</v>
      </c>
      <c r="T29" s="11" t="n">
        <v>2</v>
      </c>
      <c r="U29" s="11" t="n">
        <v>4</v>
      </c>
      <c r="V29" s="21" t="n">
        <f aca="false">ROUND(SUMPRODUCT(K29:U29,$K$3:$U$3)/(5*SUM($K$3:$U$3))*100,1)</f>
        <v>68.4</v>
      </c>
      <c r="W29" s="22" t="str">
        <f aca="false">IF(E29="Ngoài HN","Đợt 4 – Ngoài HN",IF(V29&gt;='Trọng số'!$C$19,"Đợt 1",IF(V29&gt;='Trọng số'!$C$20,"Đợt 2","Đợt 3")))</f>
        <v>Đợt 2</v>
      </c>
      <c r="X29" s="23" t="str">
        <f aca="false">IF(K29&gt;=4,"LMS + số hóa học liệu",IF(K29=3,"Nâng cấp/thay LMS + số hóa học liệu","Số hóa học liệu, chạy trên LMS sẵn có"))&amp;IF(L29&gt;=4," + mô phỏng","")&amp;IF(M29&gt;=4," + ngoại ngữ","")</f>
        <v>LMS + số hóa học liệu</v>
      </c>
      <c r="Y29" s="9" t="s">
        <v>388</v>
      </c>
      <c r="Z29" s="24" t="s">
        <v>389</v>
      </c>
      <c r="AA29" s="9" t="s">
        <v>390</v>
      </c>
      <c r="AB29" s="9"/>
      <c r="AC29" s="9" t="s">
        <v>235</v>
      </c>
    </row>
    <row r="30" customFormat="false" ht="75" hidden="false" customHeight="true" outlineLevel="0" collapsed="false">
      <c r="A30" s="8" t="n">
        <f aca="false">RANK(V30,$V$5:$V$101)</f>
        <v>25</v>
      </c>
      <c r="B30" s="7" t="s">
        <v>391</v>
      </c>
      <c r="C30" s="9" t="s">
        <v>384</v>
      </c>
      <c r="D30" s="9" t="s">
        <v>385</v>
      </c>
      <c r="E30" s="11" t="s">
        <v>228</v>
      </c>
      <c r="F30" s="9"/>
      <c r="G30" s="9" t="s">
        <v>386</v>
      </c>
      <c r="H30" s="9" t="s">
        <v>231</v>
      </c>
      <c r="I30" s="9" t="s">
        <v>231</v>
      </c>
      <c r="J30" s="9" t="s">
        <v>387</v>
      </c>
      <c r="K30" s="11" t="n">
        <v>5</v>
      </c>
      <c r="L30" s="11" t="n">
        <v>3</v>
      </c>
      <c r="M30" s="11" t="n">
        <v>3</v>
      </c>
      <c r="N30" s="11" t="n">
        <v>5</v>
      </c>
      <c r="O30" s="11" t="n">
        <v>3</v>
      </c>
      <c r="P30" s="11" t="n">
        <v>2</v>
      </c>
      <c r="Q30" s="11" t="n">
        <v>5</v>
      </c>
      <c r="R30" s="14" t="n">
        <v>1</v>
      </c>
      <c r="S30" s="8" t="n">
        <f aca="false">IF(E30="Ngoài HN",1,IF(E30="","",6-VALUE(E30)))</f>
        <v>5</v>
      </c>
      <c r="T30" s="11" t="n">
        <v>2</v>
      </c>
      <c r="U30" s="11" t="n">
        <v>4</v>
      </c>
      <c r="V30" s="21" t="n">
        <f aca="false">ROUND(SUMPRODUCT(K30:U30,$K$3:$U$3)/(5*SUM($K$3:$U$3))*100,1)</f>
        <v>68.4</v>
      </c>
      <c r="W30" s="22" t="str">
        <f aca="false">IF(E30="Ngoài HN","Đợt 4 – Ngoài HN",IF(V30&gt;='Trọng số'!$C$19,"Đợt 1",IF(V30&gt;='Trọng số'!$C$20,"Đợt 2","Đợt 3")))</f>
        <v>Đợt 2</v>
      </c>
      <c r="X30" s="23" t="str">
        <f aca="false">IF(K30&gt;=4,"LMS + số hóa học liệu",IF(K30=3,"Nâng cấp/thay LMS + số hóa học liệu","Số hóa học liệu, chạy trên LMS sẵn có"))&amp;IF(L30&gt;=4," + mô phỏng","")&amp;IF(M30&gt;=4," + ngoại ngữ","")</f>
        <v>LMS + số hóa học liệu</v>
      </c>
      <c r="Y30" s="9" t="s">
        <v>388</v>
      </c>
      <c r="Z30" s="24" t="s">
        <v>389</v>
      </c>
      <c r="AA30" s="9" t="s">
        <v>390</v>
      </c>
      <c r="AB30" s="9"/>
      <c r="AC30" s="9" t="s">
        <v>235</v>
      </c>
    </row>
    <row r="31" customFormat="false" ht="75" hidden="false" customHeight="true" outlineLevel="0" collapsed="false">
      <c r="A31" s="8" t="n">
        <f aca="false">RANK(V31,$V$5:$V$101)</f>
        <v>25</v>
      </c>
      <c r="B31" s="7" t="s">
        <v>392</v>
      </c>
      <c r="C31" s="9" t="s">
        <v>226</v>
      </c>
      <c r="D31" s="9" t="s">
        <v>275</v>
      </c>
      <c r="E31" s="11" t="s">
        <v>282</v>
      </c>
      <c r="F31" s="9"/>
      <c r="G31" s="9" t="s">
        <v>393</v>
      </c>
      <c r="H31" s="9" t="s">
        <v>277</v>
      </c>
      <c r="I31" s="9" t="s">
        <v>231</v>
      </c>
      <c r="J31" s="9" t="s">
        <v>278</v>
      </c>
      <c r="K31" s="11" t="n">
        <v>2</v>
      </c>
      <c r="L31" s="11" t="n">
        <v>4</v>
      </c>
      <c r="M31" s="11" t="n">
        <v>4</v>
      </c>
      <c r="N31" s="11" t="n">
        <v>3</v>
      </c>
      <c r="O31" s="11" t="n">
        <v>5</v>
      </c>
      <c r="P31" s="11" t="n">
        <v>4</v>
      </c>
      <c r="Q31" s="11" t="n">
        <v>3</v>
      </c>
      <c r="R31" s="14" t="n">
        <v>1</v>
      </c>
      <c r="S31" s="8" t="n">
        <f aca="false">IF(E31="Ngoài HN",1,IF(E31="","",6-VALUE(E31)))</f>
        <v>4</v>
      </c>
      <c r="T31" s="11" t="n">
        <v>5</v>
      </c>
      <c r="U31" s="11" t="n">
        <v>5</v>
      </c>
      <c r="V31" s="21" t="n">
        <f aca="false">ROUND(SUMPRODUCT(K31:U31,$K$3:$U$3)/(5*SUM($K$3:$U$3))*100,1)</f>
        <v>68.4</v>
      </c>
      <c r="W31" s="22" t="str">
        <f aca="false">IF(E31="Ngoài HN","Đợt 4 – Ngoài HN",IF(V31&gt;='Trọng số'!$C$19,"Đợt 1",IF(V31&gt;='Trọng số'!$C$20,"Đợt 2","Đợt 3")))</f>
        <v>Đợt 2</v>
      </c>
      <c r="X31" s="23" t="str">
        <f aca="false">IF(K31&gt;=4,"LMS + số hóa học liệu",IF(K31=3,"Nâng cấp/thay LMS + số hóa học liệu","Số hóa học liệu, chạy trên LMS sẵn có"))&amp;IF(L31&gt;=4," + mô phỏng","")&amp;IF(M31&gt;=4," + ngoại ngữ","")</f>
        <v>Số hóa học liệu, chạy trên LMS sẵn có + mô phỏng + ngoại ngữ</v>
      </c>
      <c r="Y31" s="9" t="s">
        <v>233</v>
      </c>
      <c r="Z31" s="24" t="s">
        <v>394</v>
      </c>
      <c r="AA31" s="9"/>
      <c r="AB31" s="9"/>
      <c r="AC31" s="9" t="s">
        <v>235</v>
      </c>
    </row>
    <row r="32" customFormat="false" ht="75" hidden="false" customHeight="true" outlineLevel="0" collapsed="false">
      <c r="A32" s="8" t="n">
        <f aca="false">RANK(V32,$V$5:$V$101)</f>
        <v>25</v>
      </c>
      <c r="B32" s="7" t="s">
        <v>395</v>
      </c>
      <c r="C32" s="9" t="s">
        <v>226</v>
      </c>
      <c r="D32" s="9" t="s">
        <v>339</v>
      </c>
      <c r="E32" s="11" t="s">
        <v>282</v>
      </c>
      <c r="F32" s="9"/>
      <c r="G32" s="9" t="s">
        <v>396</v>
      </c>
      <c r="H32" s="9" t="s">
        <v>277</v>
      </c>
      <c r="I32" s="9" t="s">
        <v>231</v>
      </c>
      <c r="J32" s="9" t="s">
        <v>278</v>
      </c>
      <c r="K32" s="11" t="n">
        <v>2</v>
      </c>
      <c r="L32" s="11" t="n">
        <v>4</v>
      </c>
      <c r="M32" s="11" t="n">
        <v>4</v>
      </c>
      <c r="N32" s="11" t="n">
        <v>3</v>
      </c>
      <c r="O32" s="11" t="n">
        <v>5</v>
      </c>
      <c r="P32" s="11" t="n">
        <v>4</v>
      </c>
      <c r="Q32" s="11" t="n">
        <v>3</v>
      </c>
      <c r="R32" s="14" t="n">
        <v>1</v>
      </c>
      <c r="S32" s="8" t="n">
        <f aca="false">IF(E32="Ngoài HN",1,IF(E32="","",6-VALUE(E32)))</f>
        <v>4</v>
      </c>
      <c r="T32" s="11" t="n">
        <v>5</v>
      </c>
      <c r="U32" s="11" t="n">
        <v>5</v>
      </c>
      <c r="V32" s="21" t="n">
        <f aca="false">ROUND(SUMPRODUCT(K32:U32,$K$3:$U$3)/(5*SUM($K$3:$U$3))*100,1)</f>
        <v>68.4</v>
      </c>
      <c r="W32" s="22" t="str">
        <f aca="false">IF(E32="Ngoài HN","Đợt 4 – Ngoài HN",IF(V32&gt;='Trọng số'!$C$19,"Đợt 1",IF(V32&gt;='Trọng số'!$C$20,"Đợt 2","Đợt 3")))</f>
        <v>Đợt 2</v>
      </c>
      <c r="X32" s="23" t="str">
        <f aca="false">IF(K32&gt;=4,"LMS + số hóa học liệu",IF(K32=3,"Nâng cấp/thay LMS + số hóa học liệu","Số hóa học liệu, chạy trên LMS sẵn có"))&amp;IF(L32&gt;=4," + mô phỏng","")&amp;IF(M32&gt;=4," + ngoại ngữ","")</f>
        <v>Số hóa học liệu, chạy trên LMS sẵn có + mô phỏng + ngoại ngữ</v>
      </c>
      <c r="Y32" s="9" t="s">
        <v>233</v>
      </c>
      <c r="Z32" s="24" t="s">
        <v>397</v>
      </c>
      <c r="AA32" s="9" t="s">
        <v>398</v>
      </c>
      <c r="AB32" s="9"/>
      <c r="AC32" s="9" t="s">
        <v>235</v>
      </c>
    </row>
    <row r="33" customFormat="false" ht="75" hidden="false" customHeight="true" outlineLevel="0" collapsed="false">
      <c r="A33" s="8" t="n">
        <f aca="false">RANK(V33,$V$5:$V$101)</f>
        <v>29</v>
      </c>
      <c r="B33" s="7" t="s">
        <v>399</v>
      </c>
      <c r="C33" s="9" t="s">
        <v>237</v>
      </c>
      <c r="D33" s="9" t="s">
        <v>227</v>
      </c>
      <c r="E33" s="11" t="s">
        <v>282</v>
      </c>
      <c r="F33" s="9" t="n">
        <v>8.8</v>
      </c>
      <c r="G33" s="9" t="s">
        <v>400</v>
      </c>
      <c r="H33" s="9" t="s">
        <v>401</v>
      </c>
      <c r="I33" s="9" t="s">
        <v>402</v>
      </c>
      <c r="J33" s="9" t="s">
        <v>311</v>
      </c>
      <c r="K33" s="11" t="n">
        <v>4</v>
      </c>
      <c r="L33" s="11" t="n">
        <v>4</v>
      </c>
      <c r="M33" s="11" t="n">
        <v>4</v>
      </c>
      <c r="N33" s="11" t="n">
        <v>4</v>
      </c>
      <c r="O33" s="11" t="n">
        <v>3</v>
      </c>
      <c r="P33" s="11" t="n">
        <v>5</v>
      </c>
      <c r="Q33" s="11" t="n">
        <v>2</v>
      </c>
      <c r="R33" s="14" t="n">
        <v>1</v>
      </c>
      <c r="S33" s="8" t="n">
        <f aca="false">IF(E33="Ngoài HN",1,IF(E33="","",6-VALUE(E33)))</f>
        <v>4</v>
      </c>
      <c r="T33" s="11" t="n">
        <v>4</v>
      </c>
      <c r="U33" s="11" t="n">
        <v>3</v>
      </c>
      <c r="V33" s="21" t="n">
        <f aca="false">ROUND(SUMPRODUCT(K33:U33,$K$3:$U$3)/(5*SUM($K$3:$U$3))*100,1)</f>
        <v>67.8</v>
      </c>
      <c r="W33" s="22" t="str">
        <f aca="false">IF(E33="Ngoài HN","Đợt 4 – Ngoài HN",IF(V33&gt;='Trọng số'!$C$19,"Đợt 1",IF(V33&gt;='Trọng số'!$C$20,"Đợt 2","Đợt 3")))</f>
        <v>Đợt 2</v>
      </c>
      <c r="X33" s="23" t="str">
        <f aca="false">IF(K33&gt;=4,"LMS + số hóa học liệu",IF(K33=3,"Nâng cấp/thay LMS + số hóa học liệu","Số hóa học liệu, chạy trên LMS sẵn có"))&amp;IF(L33&gt;=4," + mô phỏng","")&amp;IF(M33&gt;=4," + ngoại ngữ","")</f>
        <v>LMS + số hóa học liệu + mô phỏng + ngoại ngữ</v>
      </c>
      <c r="Y33" s="9" t="s">
        <v>260</v>
      </c>
      <c r="Z33" s="24" t="s">
        <v>403</v>
      </c>
      <c r="AA33" s="9"/>
      <c r="AB33" s="9" t="s">
        <v>404</v>
      </c>
      <c r="AC33" s="9" t="s">
        <v>405</v>
      </c>
    </row>
    <row r="34" customFormat="false" ht="75" hidden="false" customHeight="true" outlineLevel="0" collapsed="false">
      <c r="A34" s="8" t="n">
        <f aca="false">RANK(V34,$V$5:$V$101)</f>
        <v>29</v>
      </c>
      <c r="B34" s="7" t="s">
        <v>406</v>
      </c>
      <c r="C34" s="9" t="s">
        <v>407</v>
      </c>
      <c r="D34" s="9" t="s">
        <v>238</v>
      </c>
      <c r="E34" s="11" t="s">
        <v>282</v>
      </c>
      <c r="F34" s="9"/>
      <c r="G34" s="9" t="s">
        <v>408</v>
      </c>
      <c r="H34" s="9" t="s">
        <v>231</v>
      </c>
      <c r="I34" s="9" t="s">
        <v>231</v>
      </c>
      <c r="J34" s="9" t="s">
        <v>409</v>
      </c>
      <c r="K34" s="11" t="n">
        <v>5</v>
      </c>
      <c r="L34" s="11" t="n">
        <v>4</v>
      </c>
      <c r="M34" s="11" t="n">
        <v>3</v>
      </c>
      <c r="N34" s="11" t="n">
        <v>5</v>
      </c>
      <c r="O34" s="11" t="n">
        <v>3</v>
      </c>
      <c r="P34" s="11" t="n">
        <v>2</v>
      </c>
      <c r="Q34" s="11" t="n">
        <v>5</v>
      </c>
      <c r="R34" s="14" t="n">
        <v>1</v>
      </c>
      <c r="S34" s="8" t="n">
        <f aca="false">IF(E34="Ngoài HN",1,IF(E34="","",6-VALUE(E34)))</f>
        <v>4</v>
      </c>
      <c r="T34" s="11" t="n">
        <v>2</v>
      </c>
      <c r="U34" s="11" t="n">
        <v>3</v>
      </c>
      <c r="V34" s="21" t="n">
        <f aca="false">ROUND(SUMPRODUCT(K34:U34,$K$3:$U$3)/(5*SUM($K$3:$U$3))*100,1)</f>
        <v>67.8</v>
      </c>
      <c r="W34" s="22" t="str">
        <f aca="false">IF(E34="Ngoài HN","Đợt 4 – Ngoài HN",IF(V34&gt;='Trọng số'!$C$19,"Đợt 1",IF(V34&gt;='Trọng số'!$C$20,"Đợt 2","Đợt 3")))</f>
        <v>Đợt 2</v>
      </c>
      <c r="X34" s="23" t="str">
        <f aca="false">IF(K34&gt;=4,"LMS + số hóa học liệu",IF(K34=3,"Nâng cấp/thay LMS + số hóa học liệu","Số hóa học liệu, chạy trên LMS sẵn có"))&amp;IF(L34&gt;=4," + mô phỏng","")&amp;IF(M34&gt;=4," + ngoại ngữ","")</f>
        <v>LMS + số hóa học liệu + mô phỏng</v>
      </c>
      <c r="Y34" s="9" t="s">
        <v>410</v>
      </c>
      <c r="Z34" s="24" t="s">
        <v>411</v>
      </c>
      <c r="AA34" s="9"/>
      <c r="AB34" s="9"/>
      <c r="AC34" s="9" t="s">
        <v>235</v>
      </c>
    </row>
    <row r="35" customFormat="false" ht="75" hidden="false" customHeight="true" outlineLevel="0" collapsed="false">
      <c r="A35" s="8" t="n">
        <f aca="false">RANK(V35,$V$5:$V$101)</f>
        <v>29</v>
      </c>
      <c r="B35" s="7" t="s">
        <v>412</v>
      </c>
      <c r="C35" s="9" t="s">
        <v>407</v>
      </c>
      <c r="D35" s="9" t="s">
        <v>238</v>
      </c>
      <c r="E35" s="11" t="s">
        <v>282</v>
      </c>
      <c r="F35" s="9"/>
      <c r="G35" s="9" t="s">
        <v>408</v>
      </c>
      <c r="H35" s="9" t="s">
        <v>231</v>
      </c>
      <c r="I35" s="9" t="s">
        <v>231</v>
      </c>
      <c r="J35" s="9" t="s">
        <v>409</v>
      </c>
      <c r="K35" s="11" t="n">
        <v>5</v>
      </c>
      <c r="L35" s="11" t="n">
        <v>4</v>
      </c>
      <c r="M35" s="11" t="n">
        <v>3</v>
      </c>
      <c r="N35" s="11" t="n">
        <v>5</v>
      </c>
      <c r="O35" s="11" t="n">
        <v>3</v>
      </c>
      <c r="P35" s="11" t="n">
        <v>2</v>
      </c>
      <c r="Q35" s="11" t="n">
        <v>5</v>
      </c>
      <c r="R35" s="14" t="n">
        <v>1</v>
      </c>
      <c r="S35" s="8" t="n">
        <f aca="false">IF(E35="Ngoài HN",1,IF(E35="","",6-VALUE(E35)))</f>
        <v>4</v>
      </c>
      <c r="T35" s="11" t="n">
        <v>2</v>
      </c>
      <c r="U35" s="11" t="n">
        <v>3</v>
      </c>
      <c r="V35" s="21" t="n">
        <f aca="false">ROUND(SUMPRODUCT(K35:U35,$K$3:$U$3)/(5*SUM($K$3:$U$3))*100,1)</f>
        <v>67.8</v>
      </c>
      <c r="W35" s="22" t="str">
        <f aca="false">IF(E35="Ngoài HN","Đợt 4 – Ngoài HN",IF(V35&gt;='Trọng số'!$C$19,"Đợt 1",IF(V35&gt;='Trọng số'!$C$20,"Đợt 2","Đợt 3")))</f>
        <v>Đợt 2</v>
      </c>
      <c r="X35" s="23" t="str">
        <f aca="false">IF(K35&gt;=4,"LMS + số hóa học liệu",IF(K35=3,"Nâng cấp/thay LMS + số hóa học liệu","Số hóa học liệu, chạy trên LMS sẵn có"))&amp;IF(L35&gt;=4," + mô phỏng","")&amp;IF(M35&gt;=4," + ngoại ngữ","")</f>
        <v>LMS + số hóa học liệu + mô phỏng</v>
      </c>
      <c r="Y35" s="9" t="s">
        <v>410</v>
      </c>
      <c r="Z35" s="24" t="s">
        <v>411</v>
      </c>
      <c r="AA35" s="9"/>
      <c r="AB35" s="9"/>
      <c r="AC35" s="9" t="s">
        <v>235</v>
      </c>
    </row>
    <row r="36" customFormat="false" ht="75" hidden="false" customHeight="true" outlineLevel="0" collapsed="false">
      <c r="A36" s="8" t="n">
        <f aca="false">RANK(V36,$V$5:$V$101)</f>
        <v>29</v>
      </c>
      <c r="B36" s="7" t="s">
        <v>413</v>
      </c>
      <c r="C36" s="9" t="s">
        <v>226</v>
      </c>
      <c r="D36" s="9" t="s">
        <v>227</v>
      </c>
      <c r="E36" s="11" t="s">
        <v>249</v>
      </c>
      <c r="F36" s="9"/>
      <c r="G36" s="9" t="s">
        <v>414</v>
      </c>
      <c r="H36" s="9" t="s">
        <v>415</v>
      </c>
      <c r="I36" s="9" t="s">
        <v>231</v>
      </c>
      <c r="J36" s="9" t="s">
        <v>278</v>
      </c>
      <c r="K36" s="11" t="n">
        <v>4</v>
      </c>
      <c r="L36" s="11" t="n">
        <v>5</v>
      </c>
      <c r="M36" s="11" t="n">
        <v>4</v>
      </c>
      <c r="N36" s="11" t="n">
        <v>4</v>
      </c>
      <c r="O36" s="11" t="n">
        <v>3</v>
      </c>
      <c r="P36" s="11" t="n">
        <v>5</v>
      </c>
      <c r="Q36" s="11" t="n">
        <v>3</v>
      </c>
      <c r="R36" s="14" t="n">
        <v>1</v>
      </c>
      <c r="S36" s="8" t="n">
        <f aca="false">IF(E36="Ngoài HN",1,IF(E36="","",6-VALUE(E36)))</f>
        <v>3</v>
      </c>
      <c r="T36" s="11" t="n">
        <v>3</v>
      </c>
      <c r="U36" s="11" t="n">
        <v>2</v>
      </c>
      <c r="V36" s="21" t="n">
        <f aca="false">ROUND(SUMPRODUCT(K36:U36,$K$3:$U$3)/(5*SUM($K$3:$U$3))*100,1)</f>
        <v>67.8</v>
      </c>
      <c r="W36" s="22" t="str">
        <f aca="false">IF(E36="Ngoài HN","Đợt 4 – Ngoài HN",IF(V36&gt;='Trọng số'!$C$19,"Đợt 1",IF(V36&gt;='Trọng số'!$C$20,"Đợt 2","Đợt 3")))</f>
        <v>Đợt 2</v>
      </c>
      <c r="X36" s="23" t="str">
        <f aca="false">IF(K36&gt;=4,"LMS + số hóa học liệu",IF(K36=3,"Nâng cấp/thay LMS + số hóa học liệu","Số hóa học liệu, chạy trên LMS sẵn có"))&amp;IF(L36&gt;=4," + mô phỏng","")&amp;IF(M36&gt;=4," + ngoại ngữ","")</f>
        <v>LMS + số hóa học liệu + mô phỏng + ngoại ngữ</v>
      </c>
      <c r="Y36" s="9" t="s">
        <v>233</v>
      </c>
      <c r="Z36" s="24" t="s">
        <v>416</v>
      </c>
      <c r="AA36" s="9"/>
      <c r="AB36" s="9"/>
      <c r="AC36" s="9" t="s">
        <v>235</v>
      </c>
    </row>
    <row r="37" customFormat="false" ht="75" hidden="false" customHeight="true" outlineLevel="0" collapsed="false">
      <c r="A37" s="8" t="n">
        <f aca="false">RANK(V37,$V$5:$V$101)</f>
        <v>33</v>
      </c>
      <c r="B37" s="7" t="s">
        <v>417</v>
      </c>
      <c r="C37" s="9" t="s">
        <v>237</v>
      </c>
      <c r="D37" s="9" t="s">
        <v>227</v>
      </c>
      <c r="E37" s="11" t="s">
        <v>249</v>
      </c>
      <c r="F37" s="9" t="n">
        <v>11.5</v>
      </c>
      <c r="G37" s="9" t="s">
        <v>418</v>
      </c>
      <c r="H37" s="9" t="s">
        <v>419</v>
      </c>
      <c r="I37" s="9" t="s">
        <v>420</v>
      </c>
      <c r="J37" s="9" t="s">
        <v>311</v>
      </c>
      <c r="K37" s="11" t="n">
        <v>3</v>
      </c>
      <c r="L37" s="11" t="n">
        <v>5</v>
      </c>
      <c r="M37" s="11" t="n">
        <v>3</v>
      </c>
      <c r="N37" s="11" t="n">
        <v>4</v>
      </c>
      <c r="O37" s="11" t="n">
        <v>4</v>
      </c>
      <c r="P37" s="11" t="n">
        <v>5</v>
      </c>
      <c r="Q37" s="11" t="n">
        <v>2</v>
      </c>
      <c r="R37" s="14" t="n">
        <v>1</v>
      </c>
      <c r="S37" s="8" t="n">
        <f aca="false">IF(E37="Ngoài HN",1,IF(E37="","",6-VALUE(E37)))</f>
        <v>3</v>
      </c>
      <c r="T37" s="11" t="n">
        <v>5</v>
      </c>
      <c r="U37" s="11" t="n">
        <v>3</v>
      </c>
      <c r="V37" s="21" t="n">
        <f aca="false">ROUND(SUMPRODUCT(K37:U37,$K$3:$U$3)/(5*SUM($K$3:$U$3))*100,1)</f>
        <v>67.6</v>
      </c>
      <c r="W37" s="22" t="str">
        <f aca="false">IF(E37="Ngoài HN","Đợt 4 – Ngoài HN",IF(V37&gt;='Trọng số'!$C$19,"Đợt 1",IF(V37&gt;='Trọng số'!$C$20,"Đợt 2","Đợt 3")))</f>
        <v>Đợt 2</v>
      </c>
      <c r="X37" s="23" t="str">
        <f aca="false">IF(K37&gt;=4,"LMS + số hóa học liệu",IF(K37=3,"Nâng cấp/thay LMS + số hóa học liệu","Số hóa học liệu, chạy trên LMS sẵn có"))&amp;IF(L37&gt;=4," + mô phỏng","")&amp;IF(M37&gt;=4," + ngoại ngữ","")</f>
        <v>Nâng cấp/thay LMS + số hóa học liệu + mô phỏng</v>
      </c>
      <c r="Y37" s="9" t="s">
        <v>260</v>
      </c>
      <c r="Z37" s="24" t="s">
        <v>421</v>
      </c>
      <c r="AA37" s="9"/>
      <c r="AB37" s="9" t="s">
        <v>422</v>
      </c>
      <c r="AC37" s="9" t="s">
        <v>423</v>
      </c>
    </row>
    <row r="38" customFormat="false" ht="75" hidden="false" customHeight="true" outlineLevel="0" collapsed="false">
      <c r="A38" s="8" t="n">
        <f aca="false">RANK(V38,$V$5:$V$101)</f>
        <v>34</v>
      </c>
      <c r="B38" s="7" t="s">
        <v>424</v>
      </c>
      <c r="C38" s="9" t="s">
        <v>384</v>
      </c>
      <c r="D38" s="9" t="s">
        <v>385</v>
      </c>
      <c r="E38" s="11" t="s">
        <v>282</v>
      </c>
      <c r="F38" s="9"/>
      <c r="G38" s="9" t="s">
        <v>386</v>
      </c>
      <c r="H38" s="9" t="s">
        <v>231</v>
      </c>
      <c r="I38" s="9" t="s">
        <v>231</v>
      </c>
      <c r="J38" s="9" t="s">
        <v>425</v>
      </c>
      <c r="K38" s="11" t="n">
        <v>5</v>
      </c>
      <c r="L38" s="11" t="n">
        <v>3</v>
      </c>
      <c r="M38" s="11" t="n">
        <v>3</v>
      </c>
      <c r="N38" s="11" t="n">
        <v>5</v>
      </c>
      <c r="O38" s="11" t="n">
        <v>3</v>
      </c>
      <c r="P38" s="11" t="n">
        <v>2</v>
      </c>
      <c r="Q38" s="11" t="n">
        <v>5</v>
      </c>
      <c r="R38" s="14" t="n">
        <v>1</v>
      </c>
      <c r="S38" s="8" t="n">
        <f aca="false">IF(E38="Ngoài HN",1,IF(E38="","",6-VALUE(E38)))</f>
        <v>4</v>
      </c>
      <c r="T38" s="11" t="n">
        <v>2</v>
      </c>
      <c r="U38" s="11" t="n">
        <v>4</v>
      </c>
      <c r="V38" s="21" t="n">
        <f aca="false">ROUND(SUMPRODUCT(K38:U38,$K$3:$U$3)/(5*SUM($K$3:$U$3))*100,1)</f>
        <v>67.2</v>
      </c>
      <c r="W38" s="22" t="str">
        <f aca="false">IF(E38="Ngoài HN","Đợt 4 – Ngoài HN",IF(V38&gt;='Trọng số'!$C$19,"Đợt 1",IF(V38&gt;='Trọng số'!$C$20,"Đợt 2","Đợt 3")))</f>
        <v>Đợt 2</v>
      </c>
      <c r="X38" s="23" t="str">
        <f aca="false">IF(K38&gt;=4,"LMS + số hóa học liệu",IF(K38=3,"Nâng cấp/thay LMS + số hóa học liệu","Số hóa học liệu, chạy trên LMS sẵn có"))&amp;IF(L38&gt;=4," + mô phỏng","")&amp;IF(M38&gt;=4," + ngoại ngữ","")</f>
        <v>LMS + số hóa học liệu</v>
      </c>
      <c r="Y38" s="9" t="s">
        <v>388</v>
      </c>
      <c r="Z38" s="24" t="s">
        <v>426</v>
      </c>
      <c r="AA38" s="9" t="s">
        <v>390</v>
      </c>
      <c r="AB38" s="9"/>
      <c r="AC38" s="9" t="s">
        <v>235</v>
      </c>
    </row>
    <row r="39" customFormat="false" ht="75" hidden="false" customHeight="true" outlineLevel="0" collapsed="false">
      <c r="A39" s="8" t="n">
        <f aca="false">RANK(V39,$V$5:$V$101)</f>
        <v>34</v>
      </c>
      <c r="B39" s="7" t="s">
        <v>427</v>
      </c>
      <c r="C39" s="9" t="s">
        <v>384</v>
      </c>
      <c r="D39" s="9" t="s">
        <v>385</v>
      </c>
      <c r="E39" s="11" t="s">
        <v>282</v>
      </c>
      <c r="F39" s="9"/>
      <c r="G39" s="9" t="s">
        <v>386</v>
      </c>
      <c r="H39" s="9" t="s">
        <v>231</v>
      </c>
      <c r="I39" s="9" t="s">
        <v>231</v>
      </c>
      <c r="J39" s="9" t="s">
        <v>387</v>
      </c>
      <c r="K39" s="11" t="n">
        <v>5</v>
      </c>
      <c r="L39" s="11" t="n">
        <v>3</v>
      </c>
      <c r="M39" s="11" t="n">
        <v>3</v>
      </c>
      <c r="N39" s="11" t="n">
        <v>5</v>
      </c>
      <c r="O39" s="11" t="n">
        <v>3</v>
      </c>
      <c r="P39" s="11" t="n">
        <v>2</v>
      </c>
      <c r="Q39" s="11" t="n">
        <v>5</v>
      </c>
      <c r="R39" s="14" t="n">
        <v>1</v>
      </c>
      <c r="S39" s="8" t="n">
        <f aca="false">IF(E39="Ngoài HN",1,IF(E39="","",6-VALUE(E39)))</f>
        <v>4</v>
      </c>
      <c r="T39" s="11" t="n">
        <v>2</v>
      </c>
      <c r="U39" s="11" t="n">
        <v>4</v>
      </c>
      <c r="V39" s="21" t="n">
        <f aca="false">ROUND(SUMPRODUCT(K39:U39,$K$3:$U$3)/(5*SUM($K$3:$U$3))*100,1)</f>
        <v>67.2</v>
      </c>
      <c r="W39" s="22" t="str">
        <f aca="false">IF(E39="Ngoài HN","Đợt 4 – Ngoài HN",IF(V39&gt;='Trọng số'!$C$19,"Đợt 1",IF(V39&gt;='Trọng số'!$C$20,"Đợt 2","Đợt 3")))</f>
        <v>Đợt 2</v>
      </c>
      <c r="X39" s="23" t="str">
        <f aca="false">IF(K39&gt;=4,"LMS + số hóa học liệu",IF(K39=3,"Nâng cấp/thay LMS + số hóa học liệu","Số hóa học liệu, chạy trên LMS sẵn có"))&amp;IF(L39&gt;=4," + mô phỏng","")&amp;IF(M39&gt;=4," + ngoại ngữ","")</f>
        <v>LMS + số hóa học liệu</v>
      </c>
      <c r="Y39" s="9" t="s">
        <v>388</v>
      </c>
      <c r="Z39" s="24" t="s">
        <v>428</v>
      </c>
      <c r="AA39" s="9" t="s">
        <v>390</v>
      </c>
      <c r="AB39" s="9"/>
      <c r="AC39" s="9" t="s">
        <v>235</v>
      </c>
    </row>
    <row r="40" customFormat="false" ht="75" hidden="false" customHeight="true" outlineLevel="0" collapsed="false">
      <c r="A40" s="8" t="n">
        <f aca="false">RANK(V40,$V$5:$V$101)</f>
        <v>34</v>
      </c>
      <c r="B40" s="7" t="s">
        <v>429</v>
      </c>
      <c r="C40" s="9" t="s">
        <v>384</v>
      </c>
      <c r="D40" s="9" t="s">
        <v>385</v>
      </c>
      <c r="E40" s="11" t="s">
        <v>282</v>
      </c>
      <c r="F40" s="9"/>
      <c r="G40" s="9" t="s">
        <v>386</v>
      </c>
      <c r="H40" s="9" t="s">
        <v>231</v>
      </c>
      <c r="I40" s="9" t="s">
        <v>231</v>
      </c>
      <c r="J40" s="9" t="s">
        <v>387</v>
      </c>
      <c r="K40" s="11" t="n">
        <v>5</v>
      </c>
      <c r="L40" s="11" t="n">
        <v>3</v>
      </c>
      <c r="M40" s="11" t="n">
        <v>3</v>
      </c>
      <c r="N40" s="11" t="n">
        <v>5</v>
      </c>
      <c r="O40" s="11" t="n">
        <v>3</v>
      </c>
      <c r="P40" s="11" t="n">
        <v>2</v>
      </c>
      <c r="Q40" s="11" t="n">
        <v>5</v>
      </c>
      <c r="R40" s="14" t="n">
        <v>1</v>
      </c>
      <c r="S40" s="8" t="n">
        <f aca="false">IF(E40="Ngoài HN",1,IF(E40="","",6-VALUE(E40)))</f>
        <v>4</v>
      </c>
      <c r="T40" s="11" t="n">
        <v>2</v>
      </c>
      <c r="U40" s="11" t="n">
        <v>4</v>
      </c>
      <c r="V40" s="21" t="n">
        <f aca="false">ROUND(SUMPRODUCT(K40:U40,$K$3:$U$3)/(5*SUM($K$3:$U$3))*100,1)</f>
        <v>67.2</v>
      </c>
      <c r="W40" s="22" t="str">
        <f aca="false">IF(E40="Ngoài HN","Đợt 4 – Ngoài HN",IF(V40&gt;='Trọng số'!$C$19,"Đợt 1",IF(V40&gt;='Trọng số'!$C$20,"Đợt 2","Đợt 3")))</f>
        <v>Đợt 2</v>
      </c>
      <c r="X40" s="23" t="str">
        <f aca="false">IF(K40&gt;=4,"LMS + số hóa học liệu",IF(K40=3,"Nâng cấp/thay LMS + số hóa học liệu","Số hóa học liệu, chạy trên LMS sẵn có"))&amp;IF(L40&gt;=4," + mô phỏng","")&amp;IF(M40&gt;=4," + ngoại ngữ","")</f>
        <v>LMS + số hóa học liệu</v>
      </c>
      <c r="Y40" s="9" t="s">
        <v>388</v>
      </c>
      <c r="Z40" s="24" t="s">
        <v>428</v>
      </c>
      <c r="AA40" s="9" t="s">
        <v>390</v>
      </c>
      <c r="AB40" s="9"/>
      <c r="AC40" s="9" t="s">
        <v>235</v>
      </c>
    </row>
    <row r="41" customFormat="false" ht="75" hidden="false" customHeight="true" outlineLevel="0" collapsed="false">
      <c r="A41" s="8" t="n">
        <f aca="false">RANK(V41,$V$5:$V$101)</f>
        <v>37</v>
      </c>
      <c r="B41" s="7" t="s">
        <v>430</v>
      </c>
      <c r="C41" s="9" t="s">
        <v>237</v>
      </c>
      <c r="D41" s="9" t="s">
        <v>339</v>
      </c>
      <c r="E41" s="11" t="s">
        <v>249</v>
      </c>
      <c r="F41" s="9" t="n">
        <v>11</v>
      </c>
      <c r="G41" s="9" t="s">
        <v>431</v>
      </c>
      <c r="H41" s="9" t="s">
        <v>432</v>
      </c>
      <c r="I41" s="9" t="s">
        <v>433</v>
      </c>
      <c r="J41" s="9" t="s">
        <v>311</v>
      </c>
      <c r="K41" s="11" t="n">
        <v>5</v>
      </c>
      <c r="L41" s="11" t="n">
        <v>5</v>
      </c>
      <c r="M41" s="11" t="n">
        <v>4</v>
      </c>
      <c r="N41" s="11" t="n">
        <v>4</v>
      </c>
      <c r="O41" s="11" t="n">
        <v>3</v>
      </c>
      <c r="P41" s="11" t="n">
        <v>3</v>
      </c>
      <c r="Q41" s="11" t="n">
        <v>2</v>
      </c>
      <c r="R41" s="14" t="n">
        <v>1</v>
      </c>
      <c r="S41" s="8" t="n">
        <f aca="false">IF(E41="Ngoài HN",1,IF(E41="","",6-VALUE(E41)))</f>
        <v>3</v>
      </c>
      <c r="T41" s="11" t="n">
        <v>3</v>
      </c>
      <c r="U41" s="11" t="n">
        <v>4</v>
      </c>
      <c r="V41" s="21" t="n">
        <f aca="false">ROUND(SUMPRODUCT(K41:U41,$K$3:$U$3)/(5*SUM($K$3:$U$3))*100,1)</f>
        <v>67</v>
      </c>
      <c r="W41" s="22" t="str">
        <f aca="false">IF(E41="Ngoài HN","Đợt 4 – Ngoài HN",IF(V41&gt;='Trọng số'!$C$19,"Đợt 1",IF(V41&gt;='Trọng số'!$C$20,"Đợt 2","Đợt 3")))</f>
        <v>Đợt 2</v>
      </c>
      <c r="X41" s="23" t="str">
        <f aca="false">IF(K41&gt;=4,"LMS + số hóa học liệu",IF(K41=3,"Nâng cấp/thay LMS + số hóa học liệu","Số hóa học liệu, chạy trên LMS sẵn có"))&amp;IF(L41&gt;=4," + mô phỏng","")&amp;IF(M41&gt;=4," + ngoại ngữ","")</f>
        <v>LMS + số hóa học liệu + mô phỏng + ngoại ngữ</v>
      </c>
      <c r="Y41" s="9" t="s">
        <v>260</v>
      </c>
      <c r="Z41" s="24" t="s">
        <v>434</v>
      </c>
      <c r="AA41" s="9"/>
      <c r="AB41" s="9" t="s">
        <v>435</v>
      </c>
      <c r="AC41" s="9" t="s">
        <v>436</v>
      </c>
    </row>
    <row r="42" customFormat="false" ht="75" hidden="false" customHeight="true" outlineLevel="0" collapsed="false">
      <c r="A42" s="8" t="n">
        <f aca="false">RANK(V42,$V$5:$V$101)</f>
        <v>37</v>
      </c>
      <c r="B42" s="7" t="s">
        <v>437</v>
      </c>
      <c r="C42" s="9" t="s">
        <v>237</v>
      </c>
      <c r="D42" s="9" t="s">
        <v>326</v>
      </c>
      <c r="E42" s="11" t="s">
        <v>249</v>
      </c>
      <c r="F42" s="9" t="n">
        <v>11</v>
      </c>
      <c r="G42" s="9" t="s">
        <v>438</v>
      </c>
      <c r="H42" s="9" t="s">
        <v>439</v>
      </c>
      <c r="I42" s="9" t="s">
        <v>440</v>
      </c>
      <c r="J42" s="9" t="s">
        <v>311</v>
      </c>
      <c r="K42" s="11" t="n">
        <v>4</v>
      </c>
      <c r="L42" s="11" t="n">
        <v>5</v>
      </c>
      <c r="M42" s="11" t="n">
        <v>3</v>
      </c>
      <c r="N42" s="11" t="n">
        <v>4</v>
      </c>
      <c r="O42" s="11" t="n">
        <v>3</v>
      </c>
      <c r="P42" s="11" t="n">
        <v>5</v>
      </c>
      <c r="Q42" s="11" t="n">
        <v>2</v>
      </c>
      <c r="R42" s="14" t="n">
        <v>1</v>
      </c>
      <c r="S42" s="8" t="n">
        <f aca="false">IF(E42="Ngoài HN",1,IF(E42="","",6-VALUE(E42)))</f>
        <v>3</v>
      </c>
      <c r="T42" s="11" t="n">
        <v>4</v>
      </c>
      <c r="U42" s="11" t="n">
        <v>3</v>
      </c>
      <c r="V42" s="21" t="n">
        <f aca="false">ROUND(SUMPRODUCT(K42:U42,$K$3:$U$3)/(5*SUM($K$3:$U$3))*100,1)</f>
        <v>67</v>
      </c>
      <c r="W42" s="22" t="str">
        <f aca="false">IF(E42="Ngoài HN","Đợt 4 – Ngoài HN",IF(V42&gt;='Trọng số'!$C$19,"Đợt 1",IF(V42&gt;='Trọng số'!$C$20,"Đợt 2","Đợt 3")))</f>
        <v>Đợt 2</v>
      </c>
      <c r="X42" s="23" t="str">
        <f aca="false">IF(K42&gt;=4,"LMS + số hóa học liệu",IF(K42=3,"Nâng cấp/thay LMS + số hóa học liệu","Số hóa học liệu, chạy trên LMS sẵn có"))&amp;IF(L42&gt;=4," + mô phỏng","")&amp;IF(M42&gt;=4," + ngoại ngữ","")</f>
        <v>LMS + số hóa học liệu + mô phỏng</v>
      </c>
      <c r="Y42" s="9" t="s">
        <v>441</v>
      </c>
      <c r="Z42" s="24" t="s">
        <v>442</v>
      </c>
      <c r="AA42" s="9"/>
      <c r="AB42" s="9" t="s">
        <v>443</v>
      </c>
      <c r="AC42" s="9" t="s">
        <v>444</v>
      </c>
    </row>
    <row r="43" customFormat="false" ht="75" hidden="false" customHeight="true" outlineLevel="0" collapsed="false">
      <c r="A43" s="8" t="n">
        <f aca="false">RANK(V43,$V$5:$V$101)</f>
        <v>37</v>
      </c>
      <c r="B43" s="7" t="s">
        <v>445</v>
      </c>
      <c r="C43" s="9" t="s">
        <v>226</v>
      </c>
      <c r="D43" s="9" t="s">
        <v>227</v>
      </c>
      <c r="E43" s="11" t="s">
        <v>282</v>
      </c>
      <c r="F43" s="9"/>
      <c r="G43" s="9" t="s">
        <v>446</v>
      </c>
      <c r="H43" s="9" t="s">
        <v>415</v>
      </c>
      <c r="I43" s="9" t="s">
        <v>231</v>
      </c>
      <c r="J43" s="9" t="s">
        <v>278</v>
      </c>
      <c r="K43" s="11" t="n">
        <v>4</v>
      </c>
      <c r="L43" s="11" t="n">
        <v>4</v>
      </c>
      <c r="M43" s="11" t="n">
        <v>4</v>
      </c>
      <c r="N43" s="11" t="n">
        <v>4</v>
      </c>
      <c r="O43" s="11" t="n">
        <v>3</v>
      </c>
      <c r="P43" s="11" t="n">
        <v>5</v>
      </c>
      <c r="Q43" s="11" t="n">
        <v>3</v>
      </c>
      <c r="R43" s="14" t="n">
        <v>1</v>
      </c>
      <c r="S43" s="8" t="n">
        <f aca="false">IF(E43="Ngoài HN",1,IF(E43="","",6-VALUE(E43)))</f>
        <v>4</v>
      </c>
      <c r="T43" s="11" t="n">
        <v>3</v>
      </c>
      <c r="U43" s="11" t="n">
        <v>2</v>
      </c>
      <c r="V43" s="21" t="n">
        <f aca="false">ROUND(SUMPRODUCT(K43:U43,$K$3:$U$3)/(5*SUM($K$3:$U$3))*100,1)</f>
        <v>67</v>
      </c>
      <c r="W43" s="22" t="str">
        <f aca="false">IF(E43="Ngoài HN","Đợt 4 – Ngoài HN",IF(V43&gt;='Trọng số'!$C$19,"Đợt 1",IF(V43&gt;='Trọng số'!$C$20,"Đợt 2","Đợt 3")))</f>
        <v>Đợt 2</v>
      </c>
      <c r="X43" s="23" t="str">
        <f aca="false">IF(K43&gt;=4,"LMS + số hóa học liệu",IF(K43=3,"Nâng cấp/thay LMS + số hóa học liệu","Số hóa học liệu, chạy trên LMS sẵn có"))&amp;IF(L43&gt;=4," + mô phỏng","")&amp;IF(M43&gt;=4," + ngoại ngữ","")</f>
        <v>LMS + số hóa học liệu + mô phỏng + ngoại ngữ</v>
      </c>
      <c r="Y43" s="9" t="s">
        <v>233</v>
      </c>
      <c r="Z43" s="24" t="s">
        <v>447</v>
      </c>
      <c r="AA43" s="9"/>
      <c r="AB43" s="9"/>
      <c r="AC43" s="9" t="s">
        <v>235</v>
      </c>
    </row>
    <row r="44" customFormat="false" ht="75" hidden="false" customHeight="true" outlineLevel="0" collapsed="false">
      <c r="A44" s="8" t="n">
        <f aca="false">RANK(V44,$V$5:$V$101)</f>
        <v>40</v>
      </c>
      <c r="B44" s="7" t="s">
        <v>448</v>
      </c>
      <c r="C44" s="9" t="s">
        <v>237</v>
      </c>
      <c r="D44" s="9" t="s">
        <v>227</v>
      </c>
      <c r="E44" s="11" t="s">
        <v>282</v>
      </c>
      <c r="F44" s="9" t="n">
        <v>10.5</v>
      </c>
      <c r="G44" s="9" t="s">
        <v>449</v>
      </c>
      <c r="H44" s="9" t="s">
        <v>450</v>
      </c>
      <c r="I44" s="9" t="s">
        <v>451</v>
      </c>
      <c r="J44" s="9" t="s">
        <v>311</v>
      </c>
      <c r="K44" s="11" t="n">
        <v>3</v>
      </c>
      <c r="L44" s="11" t="n">
        <v>4</v>
      </c>
      <c r="M44" s="11" t="n">
        <v>3</v>
      </c>
      <c r="N44" s="11" t="n">
        <v>4</v>
      </c>
      <c r="O44" s="11" t="n">
        <v>4</v>
      </c>
      <c r="P44" s="11" t="n">
        <v>5</v>
      </c>
      <c r="Q44" s="11" t="n">
        <v>2</v>
      </c>
      <c r="R44" s="14" t="n">
        <v>1</v>
      </c>
      <c r="S44" s="8" t="n">
        <f aca="false">IF(E44="Ngoài HN",1,IF(E44="","",6-VALUE(E44)))</f>
        <v>4</v>
      </c>
      <c r="T44" s="11" t="n">
        <v>5</v>
      </c>
      <c r="U44" s="11" t="n">
        <v>3</v>
      </c>
      <c r="V44" s="21" t="n">
        <f aca="false">ROUND(SUMPRODUCT(K44:U44,$K$3:$U$3)/(5*SUM($K$3:$U$3))*100,1)</f>
        <v>66.8</v>
      </c>
      <c r="W44" s="22" t="str">
        <f aca="false">IF(E44="Ngoài HN","Đợt 4 – Ngoài HN",IF(V44&gt;='Trọng số'!$C$19,"Đợt 1",IF(V44&gt;='Trọng số'!$C$20,"Đợt 2","Đợt 3")))</f>
        <v>Đợt 2</v>
      </c>
      <c r="X44" s="23" t="str">
        <f aca="false">IF(K44&gt;=4,"LMS + số hóa học liệu",IF(K44=3,"Nâng cấp/thay LMS + số hóa học liệu","Số hóa học liệu, chạy trên LMS sẵn có"))&amp;IF(L44&gt;=4," + mô phỏng","")&amp;IF(M44&gt;=4," + ngoại ngữ","")</f>
        <v>Nâng cấp/thay LMS + số hóa học liệu + mô phỏng</v>
      </c>
      <c r="Y44" s="9" t="s">
        <v>260</v>
      </c>
      <c r="Z44" s="24" t="s">
        <v>452</v>
      </c>
      <c r="AA44" s="9"/>
      <c r="AB44" s="9" t="s">
        <v>453</v>
      </c>
      <c r="AC44" s="9" t="s">
        <v>454</v>
      </c>
    </row>
    <row r="45" customFormat="false" ht="75" hidden="false" customHeight="true" outlineLevel="0" collapsed="false">
      <c r="A45" s="8" t="n">
        <f aca="false">RANK(V45,$V$5:$V$101)</f>
        <v>41</v>
      </c>
      <c r="B45" s="7" t="s">
        <v>455</v>
      </c>
      <c r="C45" s="9" t="s">
        <v>226</v>
      </c>
      <c r="D45" s="9" t="s">
        <v>238</v>
      </c>
      <c r="E45" s="11" t="s">
        <v>282</v>
      </c>
      <c r="F45" s="9"/>
      <c r="G45" s="9" t="s">
        <v>456</v>
      </c>
      <c r="H45" s="9" t="s">
        <v>230</v>
      </c>
      <c r="I45" s="9" t="s">
        <v>231</v>
      </c>
      <c r="J45" s="9" t="s">
        <v>457</v>
      </c>
      <c r="K45" s="11" t="n">
        <v>3</v>
      </c>
      <c r="L45" s="11" t="n">
        <v>3</v>
      </c>
      <c r="M45" s="11" t="n">
        <v>4</v>
      </c>
      <c r="N45" s="11" t="n">
        <v>4</v>
      </c>
      <c r="O45" s="11" t="n">
        <v>4</v>
      </c>
      <c r="P45" s="11" t="n">
        <v>3</v>
      </c>
      <c r="Q45" s="11" t="n">
        <v>4</v>
      </c>
      <c r="R45" s="14" t="n">
        <v>1</v>
      </c>
      <c r="S45" s="8" t="n">
        <f aca="false">IF(E45="Ngoài HN",1,IF(E45="","",6-VALUE(E45)))</f>
        <v>4</v>
      </c>
      <c r="T45" s="11" t="n">
        <v>4</v>
      </c>
      <c r="U45" s="11" t="n">
        <v>4</v>
      </c>
      <c r="V45" s="21" t="n">
        <f aca="false">ROUND(SUMPRODUCT(K45:U45,$K$3:$U$3)/(5*SUM($K$3:$U$3))*100,1)</f>
        <v>66.4</v>
      </c>
      <c r="W45" s="22" t="str">
        <f aca="false">IF(E45="Ngoài HN","Đợt 4 – Ngoài HN",IF(V45&gt;='Trọng số'!$C$19,"Đợt 1",IF(V45&gt;='Trọng số'!$C$20,"Đợt 2","Đợt 3")))</f>
        <v>Đợt 2</v>
      </c>
      <c r="X45" s="23" t="str">
        <f aca="false">IF(K45&gt;=4,"LMS + số hóa học liệu",IF(K45=3,"Nâng cấp/thay LMS + số hóa học liệu","Số hóa học liệu, chạy trên LMS sẵn có"))&amp;IF(L45&gt;=4," + mô phỏng","")&amp;IF(M45&gt;=4," + ngoại ngữ","")</f>
        <v>Nâng cấp/thay LMS + số hóa học liệu + ngoại ngữ</v>
      </c>
      <c r="Y45" s="9" t="s">
        <v>233</v>
      </c>
      <c r="Z45" s="24" t="s">
        <v>458</v>
      </c>
      <c r="AA45" s="9" t="s">
        <v>459</v>
      </c>
      <c r="AB45" s="9"/>
      <c r="AC45" s="9" t="s">
        <v>235</v>
      </c>
    </row>
    <row r="46" customFormat="false" ht="75" hidden="false" customHeight="true" outlineLevel="0" collapsed="false">
      <c r="A46" s="8" t="n">
        <f aca="false">RANK(V46,$V$5:$V$101)</f>
        <v>41</v>
      </c>
      <c r="B46" s="7" t="s">
        <v>460</v>
      </c>
      <c r="C46" s="9" t="s">
        <v>226</v>
      </c>
      <c r="D46" s="9" t="s">
        <v>371</v>
      </c>
      <c r="E46" s="11" t="s">
        <v>282</v>
      </c>
      <c r="F46" s="9"/>
      <c r="G46" s="9" t="s">
        <v>461</v>
      </c>
      <c r="H46" s="9" t="s">
        <v>277</v>
      </c>
      <c r="I46" s="9" t="s">
        <v>231</v>
      </c>
      <c r="J46" s="9" t="s">
        <v>462</v>
      </c>
      <c r="K46" s="11" t="n">
        <v>2</v>
      </c>
      <c r="L46" s="11" t="n">
        <v>3</v>
      </c>
      <c r="M46" s="11" t="n">
        <v>4</v>
      </c>
      <c r="N46" s="11" t="n">
        <v>4</v>
      </c>
      <c r="O46" s="11" t="n">
        <v>5</v>
      </c>
      <c r="P46" s="11" t="n">
        <v>3</v>
      </c>
      <c r="Q46" s="11" t="n">
        <v>3</v>
      </c>
      <c r="R46" s="14" t="n">
        <v>1</v>
      </c>
      <c r="S46" s="8" t="n">
        <f aca="false">IF(E46="Ngoài HN",1,IF(E46="","",6-VALUE(E46)))</f>
        <v>4</v>
      </c>
      <c r="T46" s="11" t="n">
        <v>5</v>
      </c>
      <c r="U46" s="11" t="n">
        <v>5</v>
      </c>
      <c r="V46" s="21" t="n">
        <f aca="false">ROUND(SUMPRODUCT(K46:U46,$K$3:$U$3)/(5*SUM($K$3:$U$3))*100,1)</f>
        <v>66.4</v>
      </c>
      <c r="W46" s="22" t="str">
        <f aca="false">IF(E46="Ngoài HN","Đợt 4 – Ngoài HN",IF(V46&gt;='Trọng số'!$C$19,"Đợt 1",IF(V46&gt;='Trọng số'!$C$20,"Đợt 2","Đợt 3")))</f>
        <v>Đợt 2</v>
      </c>
      <c r="X46" s="23" t="str">
        <f aca="false">IF(K46&gt;=4,"LMS + số hóa học liệu",IF(K46=3,"Nâng cấp/thay LMS + số hóa học liệu","Số hóa học liệu, chạy trên LMS sẵn có"))&amp;IF(L46&gt;=4," + mô phỏng","")&amp;IF(M46&gt;=4," + ngoại ngữ","")</f>
        <v>Số hóa học liệu, chạy trên LMS sẵn có + ngoại ngữ</v>
      </c>
      <c r="Y46" s="9" t="s">
        <v>233</v>
      </c>
      <c r="Z46" s="24" t="s">
        <v>463</v>
      </c>
      <c r="AA46" s="9"/>
      <c r="AB46" s="9"/>
      <c r="AC46" s="9" t="s">
        <v>235</v>
      </c>
    </row>
    <row r="47" customFormat="false" ht="75" hidden="false" customHeight="true" outlineLevel="0" collapsed="false">
      <c r="A47" s="8" t="n">
        <f aca="false">RANK(V47,$V$5:$V$101)</f>
        <v>43</v>
      </c>
      <c r="B47" s="7" t="s">
        <v>464</v>
      </c>
      <c r="C47" s="9" t="s">
        <v>237</v>
      </c>
      <c r="D47" s="9" t="s">
        <v>227</v>
      </c>
      <c r="E47" s="11" t="s">
        <v>282</v>
      </c>
      <c r="F47" s="9" t="n">
        <v>6</v>
      </c>
      <c r="G47" s="9" t="s">
        <v>465</v>
      </c>
      <c r="H47" s="9" t="s">
        <v>466</v>
      </c>
      <c r="I47" s="9" t="s">
        <v>467</v>
      </c>
      <c r="J47" s="9" t="s">
        <v>311</v>
      </c>
      <c r="K47" s="11" t="n">
        <v>4</v>
      </c>
      <c r="L47" s="11" t="n">
        <v>4</v>
      </c>
      <c r="M47" s="11" t="n">
        <v>3</v>
      </c>
      <c r="N47" s="11" t="n">
        <v>4</v>
      </c>
      <c r="O47" s="11" t="n">
        <v>3</v>
      </c>
      <c r="P47" s="11" t="n">
        <v>5</v>
      </c>
      <c r="Q47" s="11" t="n">
        <v>2</v>
      </c>
      <c r="R47" s="14" t="n">
        <v>1</v>
      </c>
      <c r="S47" s="8" t="n">
        <f aca="false">IF(E47="Ngoài HN",1,IF(E47="","",6-VALUE(E47)))</f>
        <v>4</v>
      </c>
      <c r="T47" s="11" t="n">
        <v>4</v>
      </c>
      <c r="U47" s="11" t="n">
        <v>3</v>
      </c>
      <c r="V47" s="21" t="n">
        <f aca="false">ROUND(SUMPRODUCT(K47:U47,$K$3:$U$3)/(5*SUM($K$3:$U$3))*100,1)</f>
        <v>66.2</v>
      </c>
      <c r="W47" s="22" t="str">
        <f aca="false">IF(E47="Ngoài HN","Đợt 4 – Ngoài HN",IF(V47&gt;='Trọng số'!$C$19,"Đợt 1",IF(V47&gt;='Trọng số'!$C$20,"Đợt 2","Đợt 3")))</f>
        <v>Đợt 2</v>
      </c>
      <c r="X47" s="23" t="str">
        <f aca="false">IF(K47&gt;=4,"LMS + số hóa học liệu",IF(K47=3,"Nâng cấp/thay LMS + số hóa học liệu","Số hóa học liệu, chạy trên LMS sẵn có"))&amp;IF(L47&gt;=4," + mô phỏng","")&amp;IF(M47&gt;=4," + ngoại ngữ","")</f>
        <v>LMS + số hóa học liệu + mô phỏng</v>
      </c>
      <c r="Y47" s="9" t="s">
        <v>260</v>
      </c>
      <c r="Z47" s="24" t="s">
        <v>468</v>
      </c>
      <c r="AA47" s="9"/>
      <c r="AB47" s="9" t="s">
        <v>469</v>
      </c>
      <c r="AC47" s="9" t="s">
        <v>470</v>
      </c>
    </row>
    <row r="48" customFormat="false" ht="75" hidden="false" customHeight="true" outlineLevel="0" collapsed="false">
      <c r="A48" s="8" t="n">
        <f aca="false">RANK(V48,$V$5:$V$101)</f>
        <v>43</v>
      </c>
      <c r="B48" s="7" t="s">
        <v>471</v>
      </c>
      <c r="C48" s="9" t="s">
        <v>226</v>
      </c>
      <c r="D48" s="9" t="s">
        <v>339</v>
      </c>
      <c r="E48" s="11" t="s">
        <v>228</v>
      </c>
      <c r="F48" s="9"/>
      <c r="G48" s="9" t="s">
        <v>472</v>
      </c>
      <c r="H48" s="9" t="s">
        <v>230</v>
      </c>
      <c r="I48" s="9" t="s">
        <v>231</v>
      </c>
      <c r="J48" s="9" t="s">
        <v>278</v>
      </c>
      <c r="K48" s="11" t="n">
        <v>3</v>
      </c>
      <c r="L48" s="11" t="n">
        <v>4</v>
      </c>
      <c r="M48" s="11" t="n">
        <v>4</v>
      </c>
      <c r="N48" s="11" t="n">
        <v>4</v>
      </c>
      <c r="O48" s="11" t="n">
        <v>4</v>
      </c>
      <c r="P48" s="11" t="n">
        <v>3</v>
      </c>
      <c r="Q48" s="11" t="n">
        <v>3</v>
      </c>
      <c r="R48" s="14" t="n">
        <v>1</v>
      </c>
      <c r="S48" s="8" t="n">
        <f aca="false">IF(E48="Ngoài HN",1,IF(E48="","",6-VALUE(E48)))</f>
        <v>5</v>
      </c>
      <c r="T48" s="11" t="n">
        <v>4</v>
      </c>
      <c r="U48" s="11" t="n">
        <v>3</v>
      </c>
      <c r="V48" s="21" t="n">
        <f aca="false">ROUND(SUMPRODUCT(K48:U48,$K$3:$U$3)/(5*SUM($K$3:$U$3))*100,1)</f>
        <v>66.2</v>
      </c>
      <c r="W48" s="22" t="str">
        <f aca="false">IF(E48="Ngoài HN","Đợt 4 – Ngoài HN",IF(V48&gt;='Trọng số'!$C$19,"Đợt 1",IF(V48&gt;='Trọng số'!$C$20,"Đợt 2","Đợt 3")))</f>
        <v>Đợt 2</v>
      </c>
      <c r="X48" s="23" t="str">
        <f aca="false">IF(K48&gt;=4,"LMS + số hóa học liệu",IF(K48=3,"Nâng cấp/thay LMS + số hóa học liệu","Số hóa học liệu, chạy trên LMS sẵn có"))&amp;IF(L48&gt;=4," + mô phỏng","")&amp;IF(M48&gt;=4," + ngoại ngữ","")</f>
        <v>Nâng cấp/thay LMS + số hóa học liệu + mô phỏng + ngoại ngữ</v>
      </c>
      <c r="Y48" s="9" t="s">
        <v>233</v>
      </c>
      <c r="Z48" s="24" t="s">
        <v>473</v>
      </c>
      <c r="AA48" s="9"/>
      <c r="AB48" s="9"/>
      <c r="AC48" s="9" t="s">
        <v>235</v>
      </c>
    </row>
    <row r="49" customFormat="false" ht="75" hidden="false" customHeight="true" outlineLevel="0" collapsed="false">
      <c r="A49" s="8" t="n">
        <f aca="false">RANK(V49,$V$5:$V$101)</f>
        <v>43</v>
      </c>
      <c r="B49" s="7" t="s">
        <v>474</v>
      </c>
      <c r="C49" s="9" t="s">
        <v>226</v>
      </c>
      <c r="D49" s="9" t="s">
        <v>475</v>
      </c>
      <c r="E49" s="11" t="s">
        <v>228</v>
      </c>
      <c r="F49" s="9"/>
      <c r="G49" s="9" t="s">
        <v>476</v>
      </c>
      <c r="H49" s="9" t="s">
        <v>230</v>
      </c>
      <c r="I49" s="9" t="s">
        <v>231</v>
      </c>
      <c r="J49" s="9" t="s">
        <v>278</v>
      </c>
      <c r="K49" s="11" t="n">
        <v>3</v>
      </c>
      <c r="L49" s="11" t="n">
        <v>4</v>
      </c>
      <c r="M49" s="11" t="n">
        <v>4</v>
      </c>
      <c r="N49" s="11" t="n">
        <v>4</v>
      </c>
      <c r="O49" s="11" t="n">
        <v>4</v>
      </c>
      <c r="P49" s="11" t="n">
        <v>3</v>
      </c>
      <c r="Q49" s="11" t="n">
        <v>3</v>
      </c>
      <c r="R49" s="14" t="n">
        <v>1</v>
      </c>
      <c r="S49" s="8" t="n">
        <f aca="false">IF(E49="Ngoài HN",1,IF(E49="","",6-VALUE(E49)))</f>
        <v>5</v>
      </c>
      <c r="T49" s="11" t="n">
        <v>4</v>
      </c>
      <c r="U49" s="11" t="n">
        <v>3</v>
      </c>
      <c r="V49" s="21" t="n">
        <f aca="false">ROUND(SUMPRODUCT(K49:U49,$K$3:$U$3)/(5*SUM($K$3:$U$3))*100,1)</f>
        <v>66.2</v>
      </c>
      <c r="W49" s="22" t="str">
        <f aca="false">IF(E49="Ngoài HN","Đợt 4 – Ngoài HN",IF(V49&gt;='Trọng số'!$C$19,"Đợt 1",IF(V49&gt;='Trọng số'!$C$20,"Đợt 2","Đợt 3")))</f>
        <v>Đợt 2</v>
      </c>
      <c r="X49" s="23" t="str">
        <f aca="false">IF(K49&gt;=4,"LMS + số hóa học liệu",IF(K49=3,"Nâng cấp/thay LMS + số hóa học liệu","Số hóa học liệu, chạy trên LMS sẵn có"))&amp;IF(L49&gt;=4," + mô phỏng","")&amp;IF(M49&gt;=4," + ngoại ngữ","")</f>
        <v>Nâng cấp/thay LMS + số hóa học liệu + mô phỏng + ngoại ngữ</v>
      </c>
      <c r="Y49" s="9" t="s">
        <v>233</v>
      </c>
      <c r="Z49" s="24" t="s">
        <v>477</v>
      </c>
      <c r="AA49" s="9"/>
      <c r="AB49" s="9"/>
      <c r="AC49" s="9" t="s">
        <v>235</v>
      </c>
    </row>
    <row r="50" customFormat="false" ht="75" hidden="false" customHeight="true" outlineLevel="0" collapsed="false">
      <c r="A50" s="8" t="n">
        <f aca="false">RANK(V50,$V$5:$V$101)</f>
        <v>46</v>
      </c>
      <c r="B50" s="7" t="s">
        <v>478</v>
      </c>
      <c r="C50" s="9" t="s">
        <v>384</v>
      </c>
      <c r="D50" s="9" t="s">
        <v>385</v>
      </c>
      <c r="E50" s="11" t="s">
        <v>249</v>
      </c>
      <c r="F50" s="9"/>
      <c r="G50" s="9" t="s">
        <v>386</v>
      </c>
      <c r="H50" s="9" t="s">
        <v>231</v>
      </c>
      <c r="I50" s="9" t="s">
        <v>231</v>
      </c>
      <c r="J50" s="9" t="s">
        <v>387</v>
      </c>
      <c r="K50" s="11" t="n">
        <v>5</v>
      </c>
      <c r="L50" s="11" t="n">
        <v>3</v>
      </c>
      <c r="M50" s="11" t="n">
        <v>3</v>
      </c>
      <c r="N50" s="11" t="n">
        <v>5</v>
      </c>
      <c r="O50" s="11" t="n">
        <v>3</v>
      </c>
      <c r="P50" s="11" t="n">
        <v>2</v>
      </c>
      <c r="Q50" s="11" t="n">
        <v>5</v>
      </c>
      <c r="R50" s="14" t="n">
        <v>1</v>
      </c>
      <c r="S50" s="8" t="n">
        <f aca="false">IF(E50="Ngoài HN",1,IF(E50="","",6-VALUE(E50)))</f>
        <v>3</v>
      </c>
      <c r="T50" s="11" t="n">
        <v>2</v>
      </c>
      <c r="U50" s="11" t="n">
        <v>4</v>
      </c>
      <c r="V50" s="21" t="n">
        <f aca="false">ROUND(SUMPRODUCT(K50:U50,$K$3:$U$3)/(5*SUM($K$3:$U$3))*100,1)</f>
        <v>66</v>
      </c>
      <c r="W50" s="22" t="str">
        <f aca="false">IF(E50="Ngoài HN","Đợt 4 – Ngoài HN",IF(V50&gt;='Trọng số'!$C$19,"Đợt 1",IF(V50&gt;='Trọng số'!$C$20,"Đợt 2","Đợt 3")))</f>
        <v>Đợt 2</v>
      </c>
      <c r="X50" s="23" t="str">
        <f aca="false">IF(K50&gt;=4,"LMS + số hóa học liệu",IF(K50=3,"Nâng cấp/thay LMS + số hóa học liệu","Số hóa học liệu, chạy trên LMS sẵn có"))&amp;IF(L50&gt;=4," + mô phỏng","")&amp;IF(M50&gt;=4," + ngoại ngữ","")</f>
        <v>LMS + số hóa học liệu</v>
      </c>
      <c r="Y50" s="9" t="s">
        <v>388</v>
      </c>
      <c r="Z50" s="24" t="s">
        <v>479</v>
      </c>
      <c r="AA50" s="9" t="s">
        <v>390</v>
      </c>
      <c r="AB50" s="9"/>
      <c r="AC50" s="9" t="s">
        <v>235</v>
      </c>
    </row>
    <row r="51" customFormat="false" ht="75" hidden="false" customHeight="true" outlineLevel="0" collapsed="false">
      <c r="A51" s="8" t="n">
        <f aca="false">RANK(V51,$V$5:$V$101)</f>
        <v>46</v>
      </c>
      <c r="B51" s="7" t="s">
        <v>480</v>
      </c>
      <c r="C51" s="9" t="s">
        <v>384</v>
      </c>
      <c r="D51" s="9" t="s">
        <v>385</v>
      </c>
      <c r="E51" s="11" t="s">
        <v>249</v>
      </c>
      <c r="F51" s="9"/>
      <c r="G51" s="9" t="s">
        <v>386</v>
      </c>
      <c r="H51" s="9" t="s">
        <v>231</v>
      </c>
      <c r="I51" s="9" t="s">
        <v>231</v>
      </c>
      <c r="J51" s="9" t="s">
        <v>425</v>
      </c>
      <c r="K51" s="11" t="n">
        <v>5</v>
      </c>
      <c r="L51" s="11" t="n">
        <v>3</v>
      </c>
      <c r="M51" s="11" t="n">
        <v>3</v>
      </c>
      <c r="N51" s="11" t="n">
        <v>5</v>
      </c>
      <c r="O51" s="11" t="n">
        <v>3</v>
      </c>
      <c r="P51" s="11" t="n">
        <v>2</v>
      </c>
      <c r="Q51" s="11" t="n">
        <v>5</v>
      </c>
      <c r="R51" s="14" t="n">
        <v>1</v>
      </c>
      <c r="S51" s="8" t="n">
        <f aca="false">IF(E51="Ngoài HN",1,IF(E51="","",6-VALUE(E51)))</f>
        <v>3</v>
      </c>
      <c r="T51" s="11" t="n">
        <v>2</v>
      </c>
      <c r="U51" s="11" t="n">
        <v>4</v>
      </c>
      <c r="V51" s="21" t="n">
        <f aca="false">ROUND(SUMPRODUCT(K51:U51,$K$3:$U$3)/(5*SUM($K$3:$U$3))*100,1)</f>
        <v>66</v>
      </c>
      <c r="W51" s="22" t="str">
        <f aca="false">IF(E51="Ngoài HN","Đợt 4 – Ngoài HN",IF(V51&gt;='Trọng số'!$C$19,"Đợt 1",IF(V51&gt;='Trọng số'!$C$20,"Đợt 2","Đợt 3")))</f>
        <v>Đợt 2</v>
      </c>
      <c r="X51" s="23" t="str">
        <f aca="false">IF(K51&gt;=4,"LMS + số hóa học liệu",IF(K51=3,"Nâng cấp/thay LMS + số hóa học liệu","Số hóa học liệu, chạy trên LMS sẵn có"))&amp;IF(L51&gt;=4," + mô phỏng","")&amp;IF(M51&gt;=4," + ngoại ngữ","")</f>
        <v>LMS + số hóa học liệu</v>
      </c>
      <c r="Y51" s="9" t="s">
        <v>388</v>
      </c>
      <c r="Z51" s="24" t="s">
        <v>481</v>
      </c>
      <c r="AA51" s="9" t="s">
        <v>390</v>
      </c>
      <c r="AB51" s="9"/>
      <c r="AC51" s="9" t="s">
        <v>235</v>
      </c>
    </row>
    <row r="52" customFormat="false" ht="75" hidden="false" customHeight="true" outlineLevel="0" collapsed="false">
      <c r="A52" s="8" t="n">
        <f aca="false">RANK(V52,$V$5:$V$101)</f>
        <v>46</v>
      </c>
      <c r="B52" s="7" t="s">
        <v>482</v>
      </c>
      <c r="C52" s="9" t="s">
        <v>384</v>
      </c>
      <c r="D52" s="9" t="s">
        <v>385</v>
      </c>
      <c r="E52" s="11" t="s">
        <v>249</v>
      </c>
      <c r="F52" s="9"/>
      <c r="G52" s="9" t="s">
        <v>386</v>
      </c>
      <c r="H52" s="9" t="s">
        <v>231</v>
      </c>
      <c r="I52" s="9" t="s">
        <v>231</v>
      </c>
      <c r="J52" s="9" t="s">
        <v>387</v>
      </c>
      <c r="K52" s="11" t="n">
        <v>5</v>
      </c>
      <c r="L52" s="11" t="n">
        <v>3</v>
      </c>
      <c r="M52" s="11" t="n">
        <v>3</v>
      </c>
      <c r="N52" s="11" t="n">
        <v>5</v>
      </c>
      <c r="O52" s="11" t="n">
        <v>3</v>
      </c>
      <c r="P52" s="11" t="n">
        <v>2</v>
      </c>
      <c r="Q52" s="11" t="n">
        <v>5</v>
      </c>
      <c r="R52" s="14" t="n">
        <v>1</v>
      </c>
      <c r="S52" s="8" t="n">
        <f aca="false">IF(E52="Ngoài HN",1,IF(E52="","",6-VALUE(E52)))</f>
        <v>3</v>
      </c>
      <c r="T52" s="11" t="n">
        <v>2</v>
      </c>
      <c r="U52" s="11" t="n">
        <v>4</v>
      </c>
      <c r="V52" s="21" t="n">
        <f aca="false">ROUND(SUMPRODUCT(K52:U52,$K$3:$U$3)/(5*SUM($K$3:$U$3))*100,1)</f>
        <v>66</v>
      </c>
      <c r="W52" s="22" t="str">
        <f aca="false">IF(E52="Ngoài HN","Đợt 4 – Ngoài HN",IF(V52&gt;='Trọng số'!$C$19,"Đợt 1",IF(V52&gt;='Trọng số'!$C$20,"Đợt 2","Đợt 3")))</f>
        <v>Đợt 2</v>
      </c>
      <c r="X52" s="23" t="str">
        <f aca="false">IF(K52&gt;=4,"LMS + số hóa học liệu",IF(K52=3,"Nâng cấp/thay LMS + số hóa học liệu","Số hóa học liệu, chạy trên LMS sẵn có"))&amp;IF(L52&gt;=4," + mô phỏng","")&amp;IF(M52&gt;=4," + ngoại ngữ","")</f>
        <v>LMS + số hóa học liệu</v>
      </c>
      <c r="Y52" s="9" t="s">
        <v>388</v>
      </c>
      <c r="Z52" s="24" t="s">
        <v>479</v>
      </c>
      <c r="AA52" s="9" t="s">
        <v>390</v>
      </c>
      <c r="AB52" s="9"/>
      <c r="AC52" s="9" t="s">
        <v>235</v>
      </c>
    </row>
    <row r="53" customFormat="false" ht="75" hidden="false" customHeight="true" outlineLevel="0" collapsed="false">
      <c r="A53" s="8" t="n">
        <f aca="false">RANK(V53,$V$5:$V$101)</f>
        <v>46</v>
      </c>
      <c r="B53" s="7" t="s">
        <v>483</v>
      </c>
      <c r="C53" s="9" t="s">
        <v>384</v>
      </c>
      <c r="D53" s="9" t="s">
        <v>385</v>
      </c>
      <c r="E53" s="11" t="s">
        <v>249</v>
      </c>
      <c r="F53" s="9"/>
      <c r="G53" s="9" t="s">
        <v>386</v>
      </c>
      <c r="H53" s="9" t="s">
        <v>231</v>
      </c>
      <c r="I53" s="9" t="s">
        <v>231</v>
      </c>
      <c r="J53" s="9" t="s">
        <v>387</v>
      </c>
      <c r="K53" s="11" t="n">
        <v>5</v>
      </c>
      <c r="L53" s="11" t="n">
        <v>3</v>
      </c>
      <c r="M53" s="11" t="n">
        <v>3</v>
      </c>
      <c r="N53" s="11" t="n">
        <v>5</v>
      </c>
      <c r="O53" s="11" t="n">
        <v>3</v>
      </c>
      <c r="P53" s="11" t="n">
        <v>2</v>
      </c>
      <c r="Q53" s="11" t="n">
        <v>5</v>
      </c>
      <c r="R53" s="14" t="n">
        <v>1</v>
      </c>
      <c r="S53" s="8" t="n">
        <f aca="false">IF(E53="Ngoài HN",1,IF(E53="","",6-VALUE(E53)))</f>
        <v>3</v>
      </c>
      <c r="T53" s="11" t="n">
        <v>2</v>
      </c>
      <c r="U53" s="11" t="n">
        <v>4</v>
      </c>
      <c r="V53" s="21" t="n">
        <f aca="false">ROUND(SUMPRODUCT(K53:U53,$K$3:$U$3)/(5*SUM($K$3:$U$3))*100,1)</f>
        <v>66</v>
      </c>
      <c r="W53" s="22" t="str">
        <f aca="false">IF(E53="Ngoài HN","Đợt 4 – Ngoài HN",IF(V53&gt;='Trọng số'!$C$19,"Đợt 1",IF(V53&gt;='Trọng số'!$C$20,"Đợt 2","Đợt 3")))</f>
        <v>Đợt 2</v>
      </c>
      <c r="X53" s="23" t="str">
        <f aca="false">IF(K53&gt;=4,"LMS + số hóa học liệu",IF(K53=3,"Nâng cấp/thay LMS + số hóa học liệu","Số hóa học liệu, chạy trên LMS sẵn có"))&amp;IF(L53&gt;=4," + mô phỏng","")&amp;IF(M53&gt;=4," + ngoại ngữ","")</f>
        <v>LMS + số hóa học liệu</v>
      </c>
      <c r="Y53" s="9" t="s">
        <v>388</v>
      </c>
      <c r="Z53" s="24" t="s">
        <v>479</v>
      </c>
      <c r="AA53" s="9" t="s">
        <v>390</v>
      </c>
      <c r="AB53" s="9"/>
      <c r="AC53" s="9" t="s">
        <v>235</v>
      </c>
    </row>
    <row r="54" customFormat="false" ht="75" hidden="false" customHeight="true" outlineLevel="0" collapsed="false">
      <c r="A54" s="8" t="n">
        <f aca="false">RANK(V54,$V$5:$V$101)</f>
        <v>50</v>
      </c>
      <c r="B54" s="7" t="s">
        <v>484</v>
      </c>
      <c r="C54" s="9" t="s">
        <v>226</v>
      </c>
      <c r="D54" s="9" t="s">
        <v>485</v>
      </c>
      <c r="E54" s="11" t="s">
        <v>249</v>
      </c>
      <c r="F54" s="9"/>
      <c r="G54" s="9" t="s">
        <v>486</v>
      </c>
      <c r="H54" s="9" t="s">
        <v>230</v>
      </c>
      <c r="I54" s="9" t="s">
        <v>231</v>
      </c>
      <c r="J54" s="9" t="s">
        <v>278</v>
      </c>
      <c r="K54" s="11" t="n">
        <v>3</v>
      </c>
      <c r="L54" s="11" t="n">
        <v>5</v>
      </c>
      <c r="M54" s="11" t="n">
        <v>4</v>
      </c>
      <c r="N54" s="11" t="n">
        <v>4</v>
      </c>
      <c r="O54" s="11" t="n">
        <v>4</v>
      </c>
      <c r="P54" s="11" t="n">
        <v>3</v>
      </c>
      <c r="Q54" s="11" t="n">
        <v>3</v>
      </c>
      <c r="R54" s="14" t="n">
        <v>1</v>
      </c>
      <c r="S54" s="8" t="n">
        <f aca="false">IF(E54="Ngoài HN",1,IF(E54="","",6-VALUE(E54)))</f>
        <v>3</v>
      </c>
      <c r="T54" s="11" t="n">
        <v>4</v>
      </c>
      <c r="U54" s="11" t="n">
        <v>3</v>
      </c>
      <c r="V54" s="21" t="n">
        <f aca="false">ROUND(SUMPRODUCT(K54:U54,$K$3:$U$3)/(5*SUM($K$3:$U$3))*100,1)</f>
        <v>65.8</v>
      </c>
      <c r="W54" s="22" t="str">
        <f aca="false">IF(E54="Ngoài HN","Đợt 4 – Ngoài HN",IF(V54&gt;='Trọng số'!$C$19,"Đợt 1",IF(V54&gt;='Trọng số'!$C$20,"Đợt 2","Đợt 3")))</f>
        <v>Đợt 2</v>
      </c>
      <c r="X54" s="23" t="str">
        <f aca="false">IF(K54&gt;=4,"LMS + số hóa học liệu",IF(K54=3,"Nâng cấp/thay LMS + số hóa học liệu","Số hóa học liệu, chạy trên LMS sẵn có"))&amp;IF(L54&gt;=4," + mô phỏng","")&amp;IF(M54&gt;=4," + ngoại ngữ","")</f>
        <v>Nâng cấp/thay LMS + số hóa học liệu + mô phỏng + ngoại ngữ</v>
      </c>
      <c r="Y54" s="9" t="s">
        <v>233</v>
      </c>
      <c r="Z54" s="24" t="s">
        <v>487</v>
      </c>
      <c r="AA54" s="9"/>
      <c r="AB54" s="9"/>
      <c r="AC54" s="9" t="s">
        <v>235</v>
      </c>
    </row>
    <row r="55" customFormat="false" ht="75" hidden="false" customHeight="true" outlineLevel="0" collapsed="false">
      <c r="A55" s="8" t="n">
        <f aca="false">RANK(V55,$V$5:$V$101)</f>
        <v>51</v>
      </c>
      <c r="B55" s="7" t="s">
        <v>488</v>
      </c>
      <c r="C55" s="9" t="s">
        <v>237</v>
      </c>
      <c r="D55" s="9" t="s">
        <v>339</v>
      </c>
      <c r="E55" s="11" t="s">
        <v>282</v>
      </c>
      <c r="F55" s="9" t="n">
        <v>9.5</v>
      </c>
      <c r="G55" s="9" t="s">
        <v>489</v>
      </c>
      <c r="H55" s="9" t="s">
        <v>490</v>
      </c>
      <c r="I55" s="9" t="s">
        <v>491</v>
      </c>
      <c r="J55" s="9" t="s">
        <v>311</v>
      </c>
      <c r="K55" s="11" t="n">
        <v>3</v>
      </c>
      <c r="L55" s="11" t="n">
        <v>4</v>
      </c>
      <c r="M55" s="11" t="n">
        <v>4</v>
      </c>
      <c r="N55" s="11" t="n">
        <v>4</v>
      </c>
      <c r="O55" s="11" t="n">
        <v>3</v>
      </c>
      <c r="P55" s="11" t="n">
        <v>3</v>
      </c>
      <c r="Q55" s="11" t="n">
        <v>2</v>
      </c>
      <c r="R55" s="14" t="n">
        <v>1</v>
      </c>
      <c r="S55" s="8" t="n">
        <f aca="false">IF(E55="Ngoài HN",1,IF(E55="","",6-VALUE(E55)))</f>
        <v>4</v>
      </c>
      <c r="T55" s="11" t="n">
        <v>5</v>
      </c>
      <c r="U55" s="11" t="n">
        <v>5</v>
      </c>
      <c r="V55" s="21" t="n">
        <f aca="false">ROUND(SUMPRODUCT(K55:U55,$K$3:$U$3)/(5*SUM($K$3:$U$3))*100,1)</f>
        <v>65.6</v>
      </c>
      <c r="W55" s="22" t="str">
        <f aca="false">IF(E55="Ngoài HN","Đợt 4 – Ngoài HN",IF(V55&gt;='Trọng số'!$C$19,"Đợt 1",IF(V55&gt;='Trọng số'!$C$20,"Đợt 2","Đợt 3")))</f>
        <v>Đợt 2</v>
      </c>
      <c r="X55" s="23" t="str">
        <f aca="false">IF(K55&gt;=4,"LMS + số hóa học liệu",IF(K55=3,"Nâng cấp/thay LMS + số hóa học liệu","Số hóa học liệu, chạy trên LMS sẵn có"))&amp;IF(L55&gt;=4," + mô phỏng","")&amp;IF(M55&gt;=4," + ngoại ngữ","")</f>
        <v>Nâng cấp/thay LMS + số hóa học liệu + mô phỏng + ngoại ngữ</v>
      </c>
      <c r="Y55" s="9" t="s">
        <v>260</v>
      </c>
      <c r="Z55" s="24" t="s">
        <v>492</v>
      </c>
      <c r="AA55" s="9"/>
      <c r="AB55" s="9" t="s">
        <v>493</v>
      </c>
      <c r="AC55" s="9" t="s">
        <v>494</v>
      </c>
    </row>
    <row r="56" customFormat="false" ht="75" hidden="false" customHeight="true" outlineLevel="0" collapsed="false">
      <c r="A56" s="8" t="n">
        <f aca="false">RANK(V56,$V$5:$V$101)</f>
        <v>52</v>
      </c>
      <c r="B56" s="7" t="s">
        <v>495</v>
      </c>
      <c r="C56" s="9" t="s">
        <v>226</v>
      </c>
      <c r="D56" s="9" t="s">
        <v>376</v>
      </c>
      <c r="E56" s="11" t="s">
        <v>249</v>
      </c>
      <c r="F56" s="9"/>
      <c r="G56" s="9" t="s">
        <v>496</v>
      </c>
      <c r="H56" s="9" t="s">
        <v>230</v>
      </c>
      <c r="I56" s="9" t="s">
        <v>231</v>
      </c>
      <c r="J56" s="9" t="s">
        <v>278</v>
      </c>
      <c r="K56" s="11" t="n">
        <v>3</v>
      </c>
      <c r="L56" s="11" t="n">
        <v>4</v>
      </c>
      <c r="M56" s="11" t="n">
        <v>4</v>
      </c>
      <c r="N56" s="11" t="n">
        <v>4</v>
      </c>
      <c r="O56" s="11" t="n">
        <v>4</v>
      </c>
      <c r="P56" s="11" t="n">
        <v>3</v>
      </c>
      <c r="Q56" s="11" t="n">
        <v>3</v>
      </c>
      <c r="R56" s="14" t="n">
        <v>1</v>
      </c>
      <c r="S56" s="8" t="n">
        <f aca="false">IF(E56="Ngoài HN",1,IF(E56="","",6-VALUE(E56)))</f>
        <v>3</v>
      </c>
      <c r="T56" s="11" t="n">
        <v>4</v>
      </c>
      <c r="U56" s="11" t="n">
        <v>4</v>
      </c>
      <c r="V56" s="21" t="n">
        <f aca="false">ROUND(SUMPRODUCT(K56:U56,$K$3:$U$3)/(5*SUM($K$3:$U$3))*100,1)</f>
        <v>65.2</v>
      </c>
      <c r="W56" s="22" t="str">
        <f aca="false">IF(E56="Ngoài HN","Đợt 4 – Ngoài HN",IF(V56&gt;='Trọng số'!$C$19,"Đợt 1",IF(V56&gt;='Trọng số'!$C$20,"Đợt 2","Đợt 3")))</f>
        <v>Đợt 2</v>
      </c>
      <c r="X56" s="23" t="str">
        <f aca="false">IF(K56&gt;=4,"LMS + số hóa học liệu",IF(K56=3,"Nâng cấp/thay LMS + số hóa học liệu","Số hóa học liệu, chạy trên LMS sẵn có"))&amp;IF(L56&gt;=4," + mô phỏng","")&amp;IF(M56&gt;=4," + ngoại ngữ","")</f>
        <v>Nâng cấp/thay LMS + số hóa học liệu + mô phỏng + ngoại ngữ</v>
      </c>
      <c r="Y56" s="9" t="s">
        <v>233</v>
      </c>
      <c r="Z56" s="24" t="s">
        <v>497</v>
      </c>
      <c r="AA56" s="9"/>
      <c r="AB56" s="9"/>
      <c r="AC56" s="9" t="s">
        <v>235</v>
      </c>
    </row>
    <row r="57" customFormat="false" ht="75" hidden="false" customHeight="true" outlineLevel="0" collapsed="false">
      <c r="A57" s="8" t="n">
        <f aca="false">RANK(V57,$V$5:$V$101)</f>
        <v>53</v>
      </c>
      <c r="B57" s="7" t="s">
        <v>498</v>
      </c>
      <c r="C57" s="9" t="s">
        <v>384</v>
      </c>
      <c r="D57" s="9" t="s">
        <v>385</v>
      </c>
      <c r="E57" s="11" t="s">
        <v>380</v>
      </c>
      <c r="F57" s="9"/>
      <c r="G57" s="9" t="s">
        <v>386</v>
      </c>
      <c r="H57" s="9" t="s">
        <v>231</v>
      </c>
      <c r="I57" s="9" t="s">
        <v>231</v>
      </c>
      <c r="J57" s="9" t="s">
        <v>387</v>
      </c>
      <c r="K57" s="11" t="n">
        <v>5</v>
      </c>
      <c r="L57" s="11" t="n">
        <v>3</v>
      </c>
      <c r="M57" s="11" t="n">
        <v>3</v>
      </c>
      <c r="N57" s="11" t="n">
        <v>5</v>
      </c>
      <c r="O57" s="11" t="n">
        <v>3</v>
      </c>
      <c r="P57" s="11" t="n">
        <v>2</v>
      </c>
      <c r="Q57" s="11" t="n">
        <v>5</v>
      </c>
      <c r="R57" s="14" t="n">
        <v>1</v>
      </c>
      <c r="S57" s="8" t="n">
        <f aca="false">IF(E57="Ngoài HN",1,IF(E57="","",6-VALUE(E57)))</f>
        <v>2</v>
      </c>
      <c r="T57" s="11" t="n">
        <v>2</v>
      </c>
      <c r="U57" s="11" t="n">
        <v>4</v>
      </c>
      <c r="V57" s="21" t="n">
        <f aca="false">ROUND(SUMPRODUCT(K57:U57,$K$3:$U$3)/(5*SUM($K$3:$U$3))*100,1)</f>
        <v>64.8</v>
      </c>
      <c r="W57" s="22" t="str">
        <f aca="false">IF(E57="Ngoài HN","Đợt 4 – Ngoài HN",IF(V57&gt;='Trọng số'!$C$19,"Đợt 1",IF(V57&gt;='Trọng số'!$C$20,"Đợt 2","Đợt 3")))</f>
        <v>Đợt 3</v>
      </c>
      <c r="X57" s="23" t="str">
        <f aca="false">IF(K57&gt;=4,"LMS + số hóa học liệu",IF(K57=3,"Nâng cấp/thay LMS + số hóa học liệu","Số hóa học liệu, chạy trên LMS sẵn có"))&amp;IF(L57&gt;=4," + mô phỏng","")&amp;IF(M57&gt;=4," + ngoại ngữ","")</f>
        <v>LMS + số hóa học liệu</v>
      </c>
      <c r="Y57" s="9" t="s">
        <v>388</v>
      </c>
      <c r="Z57" s="24" t="s">
        <v>499</v>
      </c>
      <c r="AA57" s="9" t="s">
        <v>390</v>
      </c>
      <c r="AB57" s="9"/>
      <c r="AC57" s="9" t="s">
        <v>235</v>
      </c>
    </row>
    <row r="58" customFormat="false" ht="75" hidden="false" customHeight="true" outlineLevel="0" collapsed="false">
      <c r="A58" s="8" t="n">
        <f aca="false">RANK(V58,$V$5:$V$101)</f>
        <v>53</v>
      </c>
      <c r="B58" s="7" t="s">
        <v>500</v>
      </c>
      <c r="C58" s="9" t="s">
        <v>384</v>
      </c>
      <c r="D58" s="9" t="s">
        <v>385</v>
      </c>
      <c r="E58" s="11" t="s">
        <v>380</v>
      </c>
      <c r="F58" s="9"/>
      <c r="G58" s="9" t="s">
        <v>386</v>
      </c>
      <c r="H58" s="9" t="s">
        <v>231</v>
      </c>
      <c r="I58" s="9" t="s">
        <v>231</v>
      </c>
      <c r="J58" s="9" t="s">
        <v>425</v>
      </c>
      <c r="K58" s="11" t="n">
        <v>5</v>
      </c>
      <c r="L58" s="11" t="n">
        <v>3</v>
      </c>
      <c r="M58" s="11" t="n">
        <v>3</v>
      </c>
      <c r="N58" s="11" t="n">
        <v>5</v>
      </c>
      <c r="O58" s="11" t="n">
        <v>3</v>
      </c>
      <c r="P58" s="11" t="n">
        <v>2</v>
      </c>
      <c r="Q58" s="11" t="n">
        <v>5</v>
      </c>
      <c r="R58" s="14" t="n">
        <v>1</v>
      </c>
      <c r="S58" s="8" t="n">
        <f aca="false">IF(E58="Ngoài HN",1,IF(E58="","",6-VALUE(E58)))</f>
        <v>2</v>
      </c>
      <c r="T58" s="11" t="n">
        <v>2</v>
      </c>
      <c r="U58" s="11" t="n">
        <v>4</v>
      </c>
      <c r="V58" s="21" t="n">
        <f aca="false">ROUND(SUMPRODUCT(K58:U58,$K$3:$U$3)/(5*SUM($K$3:$U$3))*100,1)</f>
        <v>64.8</v>
      </c>
      <c r="W58" s="22" t="str">
        <f aca="false">IF(E58="Ngoài HN","Đợt 4 – Ngoài HN",IF(V58&gt;='Trọng số'!$C$19,"Đợt 1",IF(V58&gt;='Trọng số'!$C$20,"Đợt 2","Đợt 3")))</f>
        <v>Đợt 3</v>
      </c>
      <c r="X58" s="23" t="str">
        <f aca="false">IF(K58&gt;=4,"LMS + số hóa học liệu",IF(K58=3,"Nâng cấp/thay LMS + số hóa học liệu","Số hóa học liệu, chạy trên LMS sẵn có"))&amp;IF(L58&gt;=4," + mô phỏng","")&amp;IF(M58&gt;=4," + ngoại ngữ","")</f>
        <v>LMS + số hóa học liệu</v>
      </c>
      <c r="Y58" s="9" t="s">
        <v>388</v>
      </c>
      <c r="Z58" s="24" t="s">
        <v>501</v>
      </c>
      <c r="AA58" s="9" t="s">
        <v>390</v>
      </c>
      <c r="AB58" s="9"/>
      <c r="AC58" s="9" t="s">
        <v>235</v>
      </c>
    </row>
    <row r="59" customFormat="false" ht="75" hidden="false" customHeight="true" outlineLevel="0" collapsed="false">
      <c r="A59" s="8" t="n">
        <f aca="false">RANK(V59,$V$5:$V$101)</f>
        <v>53</v>
      </c>
      <c r="B59" s="7" t="s">
        <v>502</v>
      </c>
      <c r="C59" s="9" t="s">
        <v>384</v>
      </c>
      <c r="D59" s="9" t="s">
        <v>385</v>
      </c>
      <c r="E59" s="11" t="s">
        <v>380</v>
      </c>
      <c r="F59" s="9"/>
      <c r="G59" s="9" t="s">
        <v>386</v>
      </c>
      <c r="H59" s="9" t="s">
        <v>231</v>
      </c>
      <c r="I59" s="9" t="s">
        <v>231</v>
      </c>
      <c r="J59" s="9" t="s">
        <v>387</v>
      </c>
      <c r="K59" s="11" t="n">
        <v>5</v>
      </c>
      <c r="L59" s="11" t="n">
        <v>3</v>
      </c>
      <c r="M59" s="11" t="n">
        <v>3</v>
      </c>
      <c r="N59" s="11" t="n">
        <v>5</v>
      </c>
      <c r="O59" s="11" t="n">
        <v>3</v>
      </c>
      <c r="P59" s="11" t="n">
        <v>2</v>
      </c>
      <c r="Q59" s="11" t="n">
        <v>5</v>
      </c>
      <c r="R59" s="14" t="n">
        <v>1</v>
      </c>
      <c r="S59" s="8" t="n">
        <f aca="false">IF(E59="Ngoài HN",1,IF(E59="","",6-VALUE(E59)))</f>
        <v>2</v>
      </c>
      <c r="T59" s="11" t="n">
        <v>2</v>
      </c>
      <c r="U59" s="11" t="n">
        <v>4</v>
      </c>
      <c r="V59" s="21" t="n">
        <f aca="false">ROUND(SUMPRODUCT(K59:U59,$K$3:$U$3)/(5*SUM($K$3:$U$3))*100,1)</f>
        <v>64.8</v>
      </c>
      <c r="W59" s="22" t="str">
        <f aca="false">IF(E59="Ngoài HN","Đợt 4 – Ngoài HN",IF(V59&gt;='Trọng số'!$C$19,"Đợt 1",IF(V59&gt;='Trọng số'!$C$20,"Đợt 2","Đợt 3")))</f>
        <v>Đợt 3</v>
      </c>
      <c r="X59" s="23" t="str">
        <f aca="false">IF(K59&gt;=4,"LMS + số hóa học liệu",IF(K59=3,"Nâng cấp/thay LMS + số hóa học liệu","Số hóa học liệu, chạy trên LMS sẵn có"))&amp;IF(L59&gt;=4," + mô phỏng","")&amp;IF(M59&gt;=4," + ngoại ngữ","")</f>
        <v>LMS + số hóa học liệu</v>
      </c>
      <c r="Y59" s="9" t="s">
        <v>388</v>
      </c>
      <c r="Z59" s="24" t="s">
        <v>499</v>
      </c>
      <c r="AA59" s="9" t="s">
        <v>390</v>
      </c>
      <c r="AB59" s="9"/>
      <c r="AC59" s="9" t="s">
        <v>235</v>
      </c>
    </row>
    <row r="60" customFormat="false" ht="75" hidden="false" customHeight="true" outlineLevel="0" collapsed="false">
      <c r="A60" s="8" t="n">
        <f aca="false">RANK(V60,$V$5:$V$101)</f>
        <v>53</v>
      </c>
      <c r="B60" s="7" t="s">
        <v>503</v>
      </c>
      <c r="C60" s="9" t="s">
        <v>384</v>
      </c>
      <c r="D60" s="9" t="s">
        <v>385</v>
      </c>
      <c r="E60" s="11" t="s">
        <v>380</v>
      </c>
      <c r="F60" s="9"/>
      <c r="G60" s="9" t="s">
        <v>386</v>
      </c>
      <c r="H60" s="9" t="s">
        <v>231</v>
      </c>
      <c r="I60" s="9" t="s">
        <v>231</v>
      </c>
      <c r="J60" s="9" t="s">
        <v>425</v>
      </c>
      <c r="K60" s="11" t="n">
        <v>5</v>
      </c>
      <c r="L60" s="11" t="n">
        <v>3</v>
      </c>
      <c r="M60" s="11" t="n">
        <v>3</v>
      </c>
      <c r="N60" s="11" t="n">
        <v>5</v>
      </c>
      <c r="O60" s="11" t="n">
        <v>3</v>
      </c>
      <c r="P60" s="11" t="n">
        <v>2</v>
      </c>
      <c r="Q60" s="11" t="n">
        <v>5</v>
      </c>
      <c r="R60" s="14" t="n">
        <v>1</v>
      </c>
      <c r="S60" s="8" t="n">
        <f aca="false">IF(E60="Ngoài HN",1,IF(E60="","",6-VALUE(E60)))</f>
        <v>2</v>
      </c>
      <c r="T60" s="11" t="n">
        <v>2</v>
      </c>
      <c r="U60" s="11" t="n">
        <v>4</v>
      </c>
      <c r="V60" s="21" t="n">
        <f aca="false">ROUND(SUMPRODUCT(K60:U60,$K$3:$U$3)/(5*SUM($K$3:$U$3))*100,1)</f>
        <v>64.8</v>
      </c>
      <c r="W60" s="22" t="str">
        <f aca="false">IF(E60="Ngoài HN","Đợt 4 – Ngoài HN",IF(V60&gt;='Trọng số'!$C$19,"Đợt 1",IF(V60&gt;='Trọng số'!$C$20,"Đợt 2","Đợt 3")))</f>
        <v>Đợt 3</v>
      </c>
      <c r="X60" s="23" t="str">
        <f aca="false">IF(K60&gt;=4,"LMS + số hóa học liệu",IF(K60=3,"Nâng cấp/thay LMS + số hóa học liệu","Số hóa học liệu, chạy trên LMS sẵn có"))&amp;IF(L60&gt;=4," + mô phỏng","")&amp;IF(M60&gt;=4," + ngoại ngữ","")</f>
        <v>LMS + số hóa học liệu</v>
      </c>
      <c r="Y60" s="9" t="s">
        <v>388</v>
      </c>
      <c r="Z60" s="24" t="s">
        <v>501</v>
      </c>
      <c r="AA60" s="9" t="s">
        <v>390</v>
      </c>
      <c r="AB60" s="9"/>
      <c r="AC60" s="9" t="s">
        <v>235</v>
      </c>
    </row>
    <row r="61" customFormat="false" ht="75" hidden="false" customHeight="true" outlineLevel="0" collapsed="false">
      <c r="A61" s="8" t="n">
        <f aca="false">RANK(V61,$V$5:$V$101)</f>
        <v>57</v>
      </c>
      <c r="B61" s="7" t="s">
        <v>504</v>
      </c>
      <c r="C61" s="9" t="s">
        <v>237</v>
      </c>
      <c r="D61" s="9" t="s">
        <v>238</v>
      </c>
      <c r="E61" s="11" t="s">
        <v>228</v>
      </c>
      <c r="F61" s="9" t="n">
        <v>8</v>
      </c>
      <c r="G61" s="9" t="s">
        <v>505</v>
      </c>
      <c r="H61" s="9" t="s">
        <v>506</v>
      </c>
      <c r="I61" s="9" t="s">
        <v>507</v>
      </c>
      <c r="J61" s="9" t="s">
        <v>508</v>
      </c>
      <c r="K61" s="11" t="n">
        <v>2</v>
      </c>
      <c r="L61" s="11" t="n">
        <v>5</v>
      </c>
      <c r="M61" s="11" t="n">
        <v>3</v>
      </c>
      <c r="N61" s="11" t="n">
        <v>2</v>
      </c>
      <c r="O61" s="11" t="n">
        <v>4</v>
      </c>
      <c r="P61" s="11" t="n">
        <v>3</v>
      </c>
      <c r="Q61" s="11" t="n">
        <v>3</v>
      </c>
      <c r="R61" s="14" t="n">
        <v>1</v>
      </c>
      <c r="S61" s="8" t="n">
        <f aca="false">IF(E61="Ngoài HN",1,IF(E61="","",6-VALUE(E61)))</f>
        <v>5</v>
      </c>
      <c r="T61" s="11" t="n">
        <v>5</v>
      </c>
      <c r="U61" s="11" t="n">
        <v>5</v>
      </c>
      <c r="V61" s="21" t="n">
        <f aca="false">ROUND(SUMPRODUCT(K61:U61,$K$3:$U$3)/(5*SUM($K$3:$U$3))*100,1)</f>
        <v>64.4</v>
      </c>
      <c r="W61" s="22" t="str">
        <f aca="false">IF(E61="Ngoài HN","Đợt 4 – Ngoài HN",IF(V61&gt;='Trọng số'!$C$19,"Đợt 1",IF(V61&gt;='Trọng số'!$C$20,"Đợt 2","Đợt 3")))</f>
        <v>Đợt 3</v>
      </c>
      <c r="X61" s="23" t="str">
        <f aca="false">IF(K61&gt;=4,"LMS + số hóa học liệu",IF(K61=3,"Nâng cấp/thay LMS + số hóa học liệu","Số hóa học liệu, chạy trên LMS sẵn có"))&amp;IF(L61&gt;=4," + mô phỏng","")&amp;IF(M61&gt;=4," + ngoại ngữ","")</f>
        <v>Số hóa học liệu, chạy trên LMS sẵn có + mô phỏng</v>
      </c>
      <c r="Y61" s="9" t="s">
        <v>509</v>
      </c>
      <c r="Z61" s="24" t="s">
        <v>510</v>
      </c>
      <c r="AA61" s="9" t="s">
        <v>511</v>
      </c>
      <c r="AB61" s="9" t="s">
        <v>512</v>
      </c>
      <c r="AC61" s="9" t="s">
        <v>513</v>
      </c>
    </row>
    <row r="62" customFormat="false" ht="75" hidden="false" customHeight="true" outlineLevel="0" collapsed="false">
      <c r="A62" s="8" t="n">
        <f aca="false">RANK(V62,$V$5:$V$101)</f>
        <v>58</v>
      </c>
      <c r="B62" s="7" t="s">
        <v>514</v>
      </c>
      <c r="C62" s="9" t="s">
        <v>226</v>
      </c>
      <c r="D62" s="9" t="s">
        <v>485</v>
      </c>
      <c r="E62" s="11" t="s">
        <v>228</v>
      </c>
      <c r="F62" s="9"/>
      <c r="G62" s="9" t="s">
        <v>515</v>
      </c>
      <c r="H62" s="9" t="s">
        <v>230</v>
      </c>
      <c r="I62" s="9" t="s">
        <v>231</v>
      </c>
      <c r="J62" s="9" t="s">
        <v>278</v>
      </c>
      <c r="K62" s="11" t="n">
        <v>3</v>
      </c>
      <c r="L62" s="11" t="n">
        <v>3</v>
      </c>
      <c r="M62" s="11" t="n">
        <v>4</v>
      </c>
      <c r="N62" s="11" t="n">
        <v>4</v>
      </c>
      <c r="O62" s="11" t="n">
        <v>4</v>
      </c>
      <c r="P62" s="11" t="n">
        <v>3</v>
      </c>
      <c r="Q62" s="11" t="n">
        <v>3</v>
      </c>
      <c r="R62" s="14" t="n">
        <v>1</v>
      </c>
      <c r="S62" s="8" t="n">
        <f aca="false">IF(E62="Ngoài HN",1,IF(E62="","",6-VALUE(E62)))</f>
        <v>5</v>
      </c>
      <c r="T62" s="11" t="n">
        <v>4</v>
      </c>
      <c r="U62" s="11" t="n">
        <v>3</v>
      </c>
      <c r="V62" s="21" t="n">
        <f aca="false">ROUND(SUMPRODUCT(K62:U62,$K$3:$U$3)/(5*SUM($K$3:$U$3))*100,1)</f>
        <v>64.2</v>
      </c>
      <c r="W62" s="22" t="str">
        <f aca="false">IF(E62="Ngoài HN","Đợt 4 – Ngoài HN",IF(V62&gt;='Trọng số'!$C$19,"Đợt 1",IF(V62&gt;='Trọng số'!$C$20,"Đợt 2","Đợt 3")))</f>
        <v>Đợt 3</v>
      </c>
      <c r="X62" s="23" t="str">
        <f aca="false">IF(K62&gt;=4,"LMS + số hóa học liệu",IF(K62=3,"Nâng cấp/thay LMS + số hóa học liệu","Số hóa học liệu, chạy trên LMS sẵn có"))&amp;IF(L62&gt;=4," + mô phỏng","")&amp;IF(M62&gt;=4," + ngoại ngữ","")</f>
        <v>Nâng cấp/thay LMS + số hóa học liệu + ngoại ngữ</v>
      </c>
      <c r="Y62" s="9" t="s">
        <v>233</v>
      </c>
      <c r="Z62" s="24" t="s">
        <v>516</v>
      </c>
      <c r="AA62" s="9"/>
      <c r="AB62" s="9"/>
      <c r="AC62" s="9" t="s">
        <v>235</v>
      </c>
    </row>
    <row r="63" customFormat="false" ht="75" hidden="false" customHeight="true" outlineLevel="0" collapsed="false">
      <c r="A63" s="8" t="n">
        <f aca="false">RANK(V63,$V$5:$V$101)</f>
        <v>59</v>
      </c>
      <c r="B63" s="7" t="s">
        <v>517</v>
      </c>
      <c r="C63" s="9" t="s">
        <v>237</v>
      </c>
      <c r="D63" s="9" t="s">
        <v>238</v>
      </c>
      <c r="E63" s="11" t="s">
        <v>249</v>
      </c>
      <c r="F63" s="9" t="n">
        <v>14</v>
      </c>
      <c r="G63" s="9" t="s">
        <v>518</v>
      </c>
      <c r="H63" s="9" t="s">
        <v>519</v>
      </c>
      <c r="I63" s="9" t="s">
        <v>520</v>
      </c>
      <c r="J63" s="9" t="s">
        <v>508</v>
      </c>
      <c r="K63" s="11" t="n">
        <v>5</v>
      </c>
      <c r="L63" s="11" t="n">
        <v>3</v>
      </c>
      <c r="M63" s="11" t="n">
        <v>3</v>
      </c>
      <c r="N63" s="11" t="n">
        <v>4</v>
      </c>
      <c r="O63" s="11" t="n">
        <v>3</v>
      </c>
      <c r="P63" s="11" t="n">
        <v>3</v>
      </c>
      <c r="Q63" s="11" t="n">
        <v>4</v>
      </c>
      <c r="R63" s="14" t="n">
        <v>1</v>
      </c>
      <c r="S63" s="8" t="n">
        <f aca="false">IF(E63="Ngoài HN",1,IF(E63="","",6-VALUE(E63)))</f>
        <v>3</v>
      </c>
      <c r="T63" s="11" t="n">
        <v>2</v>
      </c>
      <c r="U63" s="11" t="n">
        <v>4</v>
      </c>
      <c r="V63" s="21" t="n">
        <f aca="false">ROUND(SUMPRODUCT(K63:U63,$K$3:$U$3)/(5*SUM($K$3:$U$3))*100,1)</f>
        <v>64</v>
      </c>
      <c r="W63" s="22" t="str">
        <f aca="false">IF(E63="Ngoài HN","Đợt 4 – Ngoài HN",IF(V63&gt;='Trọng số'!$C$19,"Đợt 1",IF(V63&gt;='Trọng số'!$C$20,"Đợt 2","Đợt 3")))</f>
        <v>Đợt 3</v>
      </c>
      <c r="X63" s="23" t="str">
        <f aca="false">IF(K63&gt;=4,"LMS + số hóa học liệu",IF(K63=3,"Nâng cấp/thay LMS + số hóa học liệu","Số hóa học liệu, chạy trên LMS sẵn có"))&amp;IF(L63&gt;=4," + mô phỏng","")&amp;IF(M63&gt;=4," + ngoại ngữ","")</f>
        <v>LMS + số hóa học liệu</v>
      </c>
      <c r="Y63" s="9" t="s">
        <v>521</v>
      </c>
      <c r="Z63" s="24" t="s">
        <v>522</v>
      </c>
      <c r="AA63" s="9" t="s">
        <v>523</v>
      </c>
      <c r="AB63" s="9" t="s">
        <v>524</v>
      </c>
      <c r="AC63" s="9" t="s">
        <v>525</v>
      </c>
    </row>
    <row r="64" customFormat="false" ht="75" hidden="false" customHeight="true" outlineLevel="0" collapsed="false">
      <c r="A64" s="8" t="n">
        <f aca="false">RANK(V64,$V$5:$V$101)</f>
        <v>60</v>
      </c>
      <c r="B64" s="7" t="s">
        <v>526</v>
      </c>
      <c r="C64" s="9" t="s">
        <v>237</v>
      </c>
      <c r="D64" s="9" t="s">
        <v>475</v>
      </c>
      <c r="E64" s="11" t="s">
        <v>228</v>
      </c>
      <c r="F64" s="9" t="n">
        <v>4.2</v>
      </c>
      <c r="G64" s="9" t="s">
        <v>527</v>
      </c>
      <c r="H64" s="9" t="s">
        <v>528</v>
      </c>
      <c r="I64" s="9" t="s">
        <v>529</v>
      </c>
      <c r="J64" s="9" t="s">
        <v>311</v>
      </c>
      <c r="K64" s="11" t="n">
        <v>4</v>
      </c>
      <c r="L64" s="11" t="n">
        <v>4</v>
      </c>
      <c r="M64" s="11" t="n">
        <v>3</v>
      </c>
      <c r="N64" s="11" t="n">
        <v>4</v>
      </c>
      <c r="O64" s="11" t="n">
        <v>3</v>
      </c>
      <c r="P64" s="11" t="n">
        <v>3</v>
      </c>
      <c r="Q64" s="11" t="n">
        <v>2</v>
      </c>
      <c r="R64" s="14" t="n">
        <v>1</v>
      </c>
      <c r="S64" s="8" t="n">
        <f aca="false">IF(E64="Ngoài HN",1,IF(E64="","",6-VALUE(E64)))</f>
        <v>5</v>
      </c>
      <c r="T64" s="11" t="n">
        <v>4</v>
      </c>
      <c r="U64" s="11" t="n">
        <v>3</v>
      </c>
      <c r="V64" s="21" t="n">
        <f aca="false">ROUND(SUMPRODUCT(K64:U64,$K$3:$U$3)/(5*SUM($K$3:$U$3))*100,1)</f>
        <v>63.4</v>
      </c>
      <c r="W64" s="22" t="str">
        <f aca="false">IF(E64="Ngoài HN","Đợt 4 – Ngoài HN",IF(V64&gt;='Trọng số'!$C$19,"Đợt 1",IF(V64&gt;='Trọng số'!$C$20,"Đợt 2","Đợt 3")))</f>
        <v>Đợt 3</v>
      </c>
      <c r="X64" s="23" t="str">
        <f aca="false">IF(K64&gt;=4,"LMS + số hóa học liệu",IF(K64=3,"Nâng cấp/thay LMS + số hóa học liệu","Số hóa học liệu, chạy trên LMS sẵn có"))&amp;IF(L64&gt;=4," + mô phỏng","")&amp;IF(M64&gt;=4," + ngoại ngữ","")</f>
        <v>LMS + số hóa học liệu + mô phỏng</v>
      </c>
      <c r="Y64" s="9" t="s">
        <v>260</v>
      </c>
      <c r="Z64" s="24" t="s">
        <v>530</v>
      </c>
      <c r="AA64" s="9"/>
      <c r="AB64" s="9" t="s">
        <v>531</v>
      </c>
      <c r="AC64" s="9" t="s">
        <v>532</v>
      </c>
    </row>
    <row r="65" customFormat="false" ht="75" hidden="false" customHeight="true" outlineLevel="0" collapsed="false">
      <c r="A65" s="8" t="n">
        <f aca="false">RANK(V65,$V$5:$V$101)</f>
        <v>61</v>
      </c>
      <c r="B65" s="7" t="s">
        <v>533</v>
      </c>
      <c r="C65" s="9" t="s">
        <v>237</v>
      </c>
      <c r="D65" s="9" t="s">
        <v>534</v>
      </c>
      <c r="E65" s="11" t="s">
        <v>228</v>
      </c>
      <c r="F65" s="9" t="n">
        <v>3</v>
      </c>
      <c r="G65" s="9" t="s">
        <v>535</v>
      </c>
      <c r="H65" s="9" t="s">
        <v>536</v>
      </c>
      <c r="I65" s="9" t="s">
        <v>537</v>
      </c>
      <c r="J65" s="9" t="s">
        <v>311</v>
      </c>
      <c r="K65" s="11" t="n">
        <v>5</v>
      </c>
      <c r="L65" s="11" t="n">
        <v>4</v>
      </c>
      <c r="M65" s="11" t="n">
        <v>3</v>
      </c>
      <c r="N65" s="11" t="n">
        <v>4</v>
      </c>
      <c r="O65" s="11" t="n">
        <v>3</v>
      </c>
      <c r="P65" s="11" t="n">
        <v>3</v>
      </c>
      <c r="Q65" s="11" t="n">
        <v>2</v>
      </c>
      <c r="R65" s="14" t="n">
        <v>1</v>
      </c>
      <c r="S65" s="8" t="n">
        <f aca="false">IF(E65="Ngoài HN",1,IF(E65="","",6-VALUE(E65)))</f>
        <v>5</v>
      </c>
      <c r="T65" s="11" t="n">
        <v>2</v>
      </c>
      <c r="U65" s="11" t="n">
        <v>3</v>
      </c>
      <c r="V65" s="21" t="n">
        <f aca="false">ROUND(SUMPRODUCT(K65:U65,$K$3:$U$3)/(5*SUM($K$3:$U$3))*100,1)</f>
        <v>63</v>
      </c>
      <c r="W65" s="22" t="str">
        <f aca="false">IF(E65="Ngoài HN","Đợt 4 – Ngoài HN",IF(V65&gt;='Trọng số'!$C$19,"Đợt 1",IF(V65&gt;='Trọng số'!$C$20,"Đợt 2","Đợt 3")))</f>
        <v>Đợt 3</v>
      </c>
      <c r="X65" s="23" t="str">
        <f aca="false">IF(K65&gt;=4,"LMS + số hóa học liệu",IF(K65=3,"Nâng cấp/thay LMS + số hóa học liệu","Số hóa học liệu, chạy trên LMS sẵn có"))&amp;IF(L65&gt;=4," + mô phỏng","")&amp;IF(M65&gt;=4," + ngoại ngữ","")</f>
        <v>LMS + số hóa học liệu + mô phỏng</v>
      </c>
      <c r="Y65" s="9" t="s">
        <v>538</v>
      </c>
      <c r="Z65" s="24" t="s">
        <v>539</v>
      </c>
      <c r="AA65" s="9"/>
      <c r="AB65" s="9" t="s">
        <v>540</v>
      </c>
      <c r="AC65" s="9" t="s">
        <v>541</v>
      </c>
    </row>
    <row r="66" customFormat="false" ht="75" hidden="false" customHeight="true" outlineLevel="0" collapsed="false">
      <c r="A66" s="8" t="n">
        <f aca="false">RANK(V66,$V$5:$V$101)</f>
        <v>62</v>
      </c>
      <c r="B66" s="7" t="s">
        <v>542</v>
      </c>
      <c r="C66" s="9" t="s">
        <v>384</v>
      </c>
      <c r="D66" s="9" t="s">
        <v>385</v>
      </c>
      <c r="E66" s="11" t="s">
        <v>380</v>
      </c>
      <c r="F66" s="9"/>
      <c r="G66" s="9" t="s">
        <v>386</v>
      </c>
      <c r="H66" s="9" t="s">
        <v>231</v>
      </c>
      <c r="I66" s="9" t="s">
        <v>231</v>
      </c>
      <c r="J66" s="9" t="s">
        <v>543</v>
      </c>
      <c r="K66" s="11" t="n">
        <v>5</v>
      </c>
      <c r="L66" s="11" t="n">
        <v>3</v>
      </c>
      <c r="M66" s="11" t="n">
        <v>3</v>
      </c>
      <c r="N66" s="11" t="n">
        <v>4</v>
      </c>
      <c r="O66" s="11" t="n">
        <v>3</v>
      </c>
      <c r="P66" s="11" t="n">
        <v>2</v>
      </c>
      <c r="Q66" s="11" t="n">
        <v>5</v>
      </c>
      <c r="R66" s="14" t="n">
        <v>1</v>
      </c>
      <c r="S66" s="8" t="n">
        <f aca="false">IF(E66="Ngoài HN",1,IF(E66="","",6-VALUE(E66)))</f>
        <v>2</v>
      </c>
      <c r="T66" s="11" t="n">
        <v>2</v>
      </c>
      <c r="U66" s="11" t="n">
        <v>4</v>
      </c>
      <c r="V66" s="21" t="n">
        <f aca="false">ROUND(SUMPRODUCT(K66:U66,$K$3:$U$3)/(5*SUM($K$3:$U$3))*100,1)</f>
        <v>62.8</v>
      </c>
      <c r="W66" s="22" t="str">
        <f aca="false">IF(E66="Ngoài HN","Đợt 4 – Ngoài HN",IF(V66&gt;='Trọng số'!$C$19,"Đợt 1",IF(V66&gt;='Trọng số'!$C$20,"Đợt 2","Đợt 3")))</f>
        <v>Đợt 3</v>
      </c>
      <c r="X66" s="23" t="str">
        <f aca="false">IF(K66&gt;=4,"LMS + số hóa học liệu",IF(K66=3,"Nâng cấp/thay LMS + số hóa học liệu","Số hóa học liệu, chạy trên LMS sẵn có"))&amp;IF(L66&gt;=4," + mô phỏng","")&amp;IF(M66&gt;=4," + ngoại ngữ","")</f>
        <v>LMS + số hóa học liệu</v>
      </c>
      <c r="Y66" s="9" t="s">
        <v>388</v>
      </c>
      <c r="Z66" s="24" t="s">
        <v>544</v>
      </c>
      <c r="AA66" s="9" t="s">
        <v>390</v>
      </c>
      <c r="AB66" s="9"/>
      <c r="AC66" s="9" t="s">
        <v>235</v>
      </c>
    </row>
    <row r="67" customFormat="false" ht="75" hidden="false" customHeight="true" outlineLevel="0" collapsed="false">
      <c r="A67" s="8" t="n">
        <f aca="false">RANK(V67,$V$5:$V$101)</f>
        <v>63</v>
      </c>
      <c r="B67" s="7" t="s">
        <v>545</v>
      </c>
      <c r="C67" s="9" t="s">
        <v>237</v>
      </c>
      <c r="D67" s="9" t="s">
        <v>227</v>
      </c>
      <c r="E67" s="11" t="s">
        <v>282</v>
      </c>
      <c r="F67" s="9" t="n">
        <v>7</v>
      </c>
      <c r="G67" s="9" t="s">
        <v>546</v>
      </c>
      <c r="H67" s="9" t="s">
        <v>547</v>
      </c>
      <c r="I67" s="9" t="s">
        <v>548</v>
      </c>
      <c r="J67" s="9" t="s">
        <v>311</v>
      </c>
      <c r="K67" s="11" t="n">
        <v>3</v>
      </c>
      <c r="L67" s="11" t="n">
        <v>4</v>
      </c>
      <c r="M67" s="11" t="n">
        <v>3</v>
      </c>
      <c r="N67" s="11" t="n">
        <v>4</v>
      </c>
      <c r="O67" s="11" t="n">
        <v>3</v>
      </c>
      <c r="P67" s="11" t="n">
        <v>5</v>
      </c>
      <c r="Q67" s="11" t="n">
        <v>2</v>
      </c>
      <c r="R67" s="14" t="n">
        <v>1</v>
      </c>
      <c r="S67" s="8" t="n">
        <f aca="false">IF(E67="Ngoài HN",1,IF(E67="","",6-VALUE(E67)))</f>
        <v>4</v>
      </c>
      <c r="T67" s="11" t="n">
        <v>3</v>
      </c>
      <c r="U67" s="11" t="n">
        <v>3</v>
      </c>
      <c r="V67" s="21" t="n">
        <f aca="false">ROUND(SUMPRODUCT(K67:U67,$K$3:$U$3)/(5*SUM($K$3:$U$3))*100,1)</f>
        <v>62.4</v>
      </c>
      <c r="W67" s="22" t="str">
        <f aca="false">IF(E67="Ngoài HN","Đợt 4 – Ngoài HN",IF(V67&gt;='Trọng số'!$C$19,"Đợt 1",IF(V67&gt;='Trọng số'!$C$20,"Đợt 2","Đợt 3")))</f>
        <v>Đợt 3</v>
      </c>
      <c r="X67" s="23" t="str">
        <f aca="false">IF(K67&gt;=4,"LMS + số hóa học liệu",IF(K67=3,"Nâng cấp/thay LMS + số hóa học liệu","Số hóa học liệu, chạy trên LMS sẵn có"))&amp;IF(L67&gt;=4," + mô phỏng","")&amp;IF(M67&gt;=4," + ngoại ngữ","")</f>
        <v>Nâng cấp/thay LMS + số hóa học liệu + mô phỏng</v>
      </c>
      <c r="Y67" s="9" t="s">
        <v>549</v>
      </c>
      <c r="Z67" s="24" t="s">
        <v>550</v>
      </c>
      <c r="AA67" s="9"/>
      <c r="AB67" s="9" t="s">
        <v>551</v>
      </c>
      <c r="AC67" s="9" t="s">
        <v>552</v>
      </c>
    </row>
    <row r="68" customFormat="false" ht="75" hidden="false" customHeight="true" outlineLevel="0" collapsed="false">
      <c r="A68" s="8" t="n">
        <f aca="false">RANK(V68,$V$5:$V$101)</f>
        <v>63</v>
      </c>
      <c r="B68" s="7" t="s">
        <v>553</v>
      </c>
      <c r="C68" s="9" t="s">
        <v>226</v>
      </c>
      <c r="D68" s="9" t="s">
        <v>227</v>
      </c>
      <c r="E68" s="11" t="s">
        <v>282</v>
      </c>
      <c r="F68" s="9"/>
      <c r="G68" s="9" t="s">
        <v>554</v>
      </c>
      <c r="H68" s="9" t="s">
        <v>277</v>
      </c>
      <c r="I68" s="9" t="s">
        <v>231</v>
      </c>
      <c r="J68" s="9" t="s">
        <v>278</v>
      </c>
      <c r="K68" s="11" t="n">
        <v>2</v>
      </c>
      <c r="L68" s="11" t="n">
        <v>3</v>
      </c>
      <c r="M68" s="11" t="n">
        <v>4</v>
      </c>
      <c r="N68" s="11" t="n">
        <v>3</v>
      </c>
      <c r="O68" s="11" t="n">
        <v>3</v>
      </c>
      <c r="P68" s="11" t="n">
        <v>5</v>
      </c>
      <c r="Q68" s="11" t="n">
        <v>3</v>
      </c>
      <c r="R68" s="14" t="n">
        <v>1</v>
      </c>
      <c r="S68" s="8" t="n">
        <f aca="false">IF(E68="Ngoài HN",1,IF(E68="","",6-VALUE(E68)))</f>
        <v>4</v>
      </c>
      <c r="T68" s="11" t="n">
        <v>5</v>
      </c>
      <c r="U68" s="11" t="n">
        <v>3</v>
      </c>
      <c r="V68" s="21" t="n">
        <f aca="false">ROUND(SUMPRODUCT(K68:U68,$K$3:$U$3)/(5*SUM($K$3:$U$3))*100,1)</f>
        <v>62.4</v>
      </c>
      <c r="W68" s="22" t="str">
        <f aca="false">IF(E68="Ngoài HN","Đợt 4 – Ngoài HN",IF(V68&gt;='Trọng số'!$C$19,"Đợt 1",IF(V68&gt;='Trọng số'!$C$20,"Đợt 2","Đợt 3")))</f>
        <v>Đợt 3</v>
      </c>
      <c r="X68" s="23" t="str">
        <f aca="false">IF(K68&gt;=4,"LMS + số hóa học liệu",IF(K68=3,"Nâng cấp/thay LMS + số hóa học liệu","Số hóa học liệu, chạy trên LMS sẵn có"))&amp;IF(L68&gt;=4," + mô phỏng","")&amp;IF(M68&gt;=4," + ngoại ngữ","")</f>
        <v>Số hóa học liệu, chạy trên LMS sẵn có + ngoại ngữ</v>
      </c>
      <c r="Y68" s="9" t="s">
        <v>233</v>
      </c>
      <c r="Z68" s="24" t="s">
        <v>555</v>
      </c>
      <c r="AA68" s="9"/>
      <c r="AB68" s="9"/>
      <c r="AC68" s="9" t="s">
        <v>235</v>
      </c>
    </row>
    <row r="69" customFormat="false" ht="75" hidden="false" customHeight="true" outlineLevel="0" collapsed="false">
      <c r="A69" s="8" t="n">
        <f aca="false">RANK(V69,$V$5:$V$101)</f>
        <v>65</v>
      </c>
      <c r="B69" s="7" t="s">
        <v>556</v>
      </c>
      <c r="C69" s="9" t="s">
        <v>226</v>
      </c>
      <c r="D69" s="9" t="s">
        <v>335</v>
      </c>
      <c r="E69" s="11" t="s">
        <v>249</v>
      </c>
      <c r="F69" s="9"/>
      <c r="G69" s="9" t="s">
        <v>557</v>
      </c>
      <c r="H69" s="9" t="s">
        <v>230</v>
      </c>
      <c r="I69" s="9" t="s">
        <v>231</v>
      </c>
      <c r="J69" s="9" t="s">
        <v>278</v>
      </c>
      <c r="K69" s="11" t="n">
        <v>3</v>
      </c>
      <c r="L69" s="11" t="n">
        <v>3</v>
      </c>
      <c r="M69" s="11" t="n">
        <v>4</v>
      </c>
      <c r="N69" s="11" t="n">
        <v>4</v>
      </c>
      <c r="O69" s="11" t="n">
        <v>4</v>
      </c>
      <c r="P69" s="11" t="n">
        <v>3</v>
      </c>
      <c r="Q69" s="11" t="n">
        <v>3</v>
      </c>
      <c r="R69" s="14" t="n">
        <v>1</v>
      </c>
      <c r="S69" s="8" t="n">
        <f aca="false">IF(E69="Ngoài HN",1,IF(E69="","",6-VALUE(E69)))</f>
        <v>3</v>
      </c>
      <c r="T69" s="11" t="n">
        <v>4</v>
      </c>
      <c r="U69" s="11" t="n">
        <v>3</v>
      </c>
      <c r="V69" s="21" t="n">
        <f aca="false">ROUND(SUMPRODUCT(K69:U69,$K$3:$U$3)/(5*SUM($K$3:$U$3))*100,1)</f>
        <v>61.8</v>
      </c>
      <c r="W69" s="22" t="str">
        <f aca="false">IF(E69="Ngoài HN","Đợt 4 – Ngoài HN",IF(V69&gt;='Trọng số'!$C$19,"Đợt 1",IF(V69&gt;='Trọng số'!$C$20,"Đợt 2","Đợt 3")))</f>
        <v>Đợt 3</v>
      </c>
      <c r="X69" s="23" t="str">
        <f aca="false">IF(K69&gt;=4,"LMS + số hóa học liệu",IF(K69=3,"Nâng cấp/thay LMS + số hóa học liệu","Số hóa học liệu, chạy trên LMS sẵn có"))&amp;IF(L69&gt;=4," + mô phỏng","")&amp;IF(M69&gt;=4," + ngoại ngữ","")</f>
        <v>Nâng cấp/thay LMS + số hóa học liệu + ngoại ngữ</v>
      </c>
      <c r="Y69" s="9" t="s">
        <v>233</v>
      </c>
      <c r="Z69" s="24" t="s">
        <v>558</v>
      </c>
      <c r="AA69" s="9"/>
      <c r="AB69" s="9"/>
      <c r="AC69" s="9" t="s">
        <v>235</v>
      </c>
    </row>
    <row r="70" customFormat="false" ht="75" hidden="false" customHeight="true" outlineLevel="0" collapsed="false">
      <c r="A70" s="8" t="n">
        <f aca="false">RANK(V70,$V$5:$V$101)</f>
        <v>66</v>
      </c>
      <c r="B70" s="7" t="s">
        <v>559</v>
      </c>
      <c r="C70" s="9" t="s">
        <v>237</v>
      </c>
      <c r="D70" s="9" t="s">
        <v>534</v>
      </c>
      <c r="E70" s="11" t="s">
        <v>282</v>
      </c>
      <c r="F70" s="9" t="n">
        <v>5.5</v>
      </c>
      <c r="G70" s="9" t="s">
        <v>560</v>
      </c>
      <c r="H70" s="9" t="s">
        <v>561</v>
      </c>
      <c r="I70" s="9" t="s">
        <v>562</v>
      </c>
      <c r="J70" s="9" t="s">
        <v>311</v>
      </c>
      <c r="K70" s="11" t="n">
        <v>3</v>
      </c>
      <c r="L70" s="11" t="n">
        <v>4</v>
      </c>
      <c r="M70" s="11" t="n">
        <v>3</v>
      </c>
      <c r="N70" s="11" t="n">
        <v>4</v>
      </c>
      <c r="O70" s="11" t="n">
        <v>3</v>
      </c>
      <c r="P70" s="11" t="n">
        <v>3</v>
      </c>
      <c r="Q70" s="11" t="n">
        <v>2</v>
      </c>
      <c r="R70" s="14" t="n">
        <v>1</v>
      </c>
      <c r="S70" s="8" t="n">
        <f aca="false">IF(E70="Ngoài HN",1,IF(E70="","",6-VALUE(E70)))</f>
        <v>4</v>
      </c>
      <c r="T70" s="11" t="n">
        <v>5</v>
      </c>
      <c r="U70" s="11" t="n">
        <v>3</v>
      </c>
      <c r="V70" s="21" t="n">
        <f aca="false">ROUND(SUMPRODUCT(K70:U70,$K$3:$U$3)/(5*SUM($K$3:$U$3))*100,1)</f>
        <v>61.2</v>
      </c>
      <c r="W70" s="22" t="str">
        <f aca="false">IF(E70="Ngoài HN","Đợt 4 – Ngoài HN",IF(V70&gt;='Trọng số'!$C$19,"Đợt 1",IF(V70&gt;='Trọng số'!$C$20,"Đợt 2","Đợt 3")))</f>
        <v>Đợt 3</v>
      </c>
      <c r="X70" s="23" t="str">
        <f aca="false">IF(K70&gt;=4,"LMS + số hóa học liệu",IF(K70=3,"Nâng cấp/thay LMS + số hóa học liệu","Số hóa học liệu, chạy trên LMS sẵn có"))&amp;IF(L70&gt;=4," + mô phỏng","")&amp;IF(M70&gt;=4," + ngoại ngữ","")</f>
        <v>Nâng cấp/thay LMS + số hóa học liệu + mô phỏng</v>
      </c>
      <c r="Y70" s="9" t="s">
        <v>563</v>
      </c>
      <c r="Z70" s="24" t="s">
        <v>564</v>
      </c>
      <c r="AA70" s="9"/>
      <c r="AB70" s="9" t="s">
        <v>565</v>
      </c>
      <c r="AC70" s="9" t="s">
        <v>566</v>
      </c>
    </row>
    <row r="71" customFormat="false" ht="75" hidden="false" customHeight="true" outlineLevel="0" collapsed="false">
      <c r="A71" s="8" t="n">
        <f aca="false">RANK(V71,$V$5:$V$101)</f>
        <v>66</v>
      </c>
      <c r="B71" s="7" t="s">
        <v>567</v>
      </c>
      <c r="C71" s="9" t="s">
        <v>237</v>
      </c>
      <c r="D71" s="9" t="s">
        <v>227</v>
      </c>
      <c r="E71" s="11" t="s">
        <v>249</v>
      </c>
      <c r="F71" s="9" t="n">
        <v>12</v>
      </c>
      <c r="G71" s="9" t="s">
        <v>568</v>
      </c>
      <c r="H71" s="9" t="s">
        <v>569</v>
      </c>
      <c r="I71" s="9" t="s">
        <v>570</v>
      </c>
      <c r="J71" s="9" t="s">
        <v>311</v>
      </c>
      <c r="K71" s="11" t="n">
        <v>3</v>
      </c>
      <c r="L71" s="11" t="n">
        <v>4</v>
      </c>
      <c r="M71" s="11" t="n">
        <v>3</v>
      </c>
      <c r="N71" s="11" t="n">
        <v>4</v>
      </c>
      <c r="O71" s="11" t="n">
        <v>3</v>
      </c>
      <c r="P71" s="11" t="n">
        <v>5</v>
      </c>
      <c r="Q71" s="11" t="n">
        <v>2</v>
      </c>
      <c r="R71" s="14" t="n">
        <v>1</v>
      </c>
      <c r="S71" s="8" t="n">
        <f aca="false">IF(E71="Ngoài HN",1,IF(E71="","",6-VALUE(E71)))</f>
        <v>3</v>
      </c>
      <c r="T71" s="11" t="n">
        <v>3</v>
      </c>
      <c r="U71" s="11" t="n">
        <v>3</v>
      </c>
      <c r="V71" s="21" t="n">
        <f aca="false">ROUND(SUMPRODUCT(K71:U71,$K$3:$U$3)/(5*SUM($K$3:$U$3))*100,1)</f>
        <v>61.2</v>
      </c>
      <c r="W71" s="22" t="str">
        <f aca="false">IF(E71="Ngoài HN","Đợt 4 – Ngoài HN",IF(V71&gt;='Trọng số'!$C$19,"Đợt 1",IF(V71&gt;='Trọng số'!$C$20,"Đợt 2","Đợt 3")))</f>
        <v>Đợt 3</v>
      </c>
      <c r="X71" s="23" t="str">
        <f aca="false">IF(K71&gt;=4,"LMS + số hóa học liệu",IF(K71=3,"Nâng cấp/thay LMS + số hóa học liệu","Số hóa học liệu, chạy trên LMS sẵn có"))&amp;IF(L71&gt;=4," + mô phỏng","")&amp;IF(M71&gt;=4," + ngoại ngữ","")</f>
        <v>Nâng cấp/thay LMS + số hóa học liệu + mô phỏng</v>
      </c>
      <c r="Y71" s="9" t="s">
        <v>260</v>
      </c>
      <c r="Z71" s="24" t="s">
        <v>571</v>
      </c>
      <c r="AA71" s="9"/>
      <c r="AB71" s="9" t="s">
        <v>572</v>
      </c>
      <c r="AC71" s="9" t="s">
        <v>573</v>
      </c>
    </row>
    <row r="72" customFormat="false" ht="75" hidden="false" customHeight="true" outlineLevel="0" collapsed="false">
      <c r="A72" s="8" t="n">
        <f aca="false">RANK(V72,$V$5:$V$101)</f>
        <v>68</v>
      </c>
      <c r="B72" s="7" t="s">
        <v>574</v>
      </c>
      <c r="C72" s="9" t="s">
        <v>237</v>
      </c>
      <c r="D72" s="9" t="s">
        <v>575</v>
      </c>
      <c r="E72" s="11" t="s">
        <v>249</v>
      </c>
      <c r="F72" s="9" t="n">
        <v>11.5</v>
      </c>
      <c r="G72" s="9" t="s">
        <v>576</v>
      </c>
      <c r="H72" s="9" t="s">
        <v>577</v>
      </c>
      <c r="I72" s="9" t="s">
        <v>578</v>
      </c>
      <c r="J72" s="9" t="s">
        <v>311</v>
      </c>
      <c r="K72" s="11" t="n">
        <v>4</v>
      </c>
      <c r="L72" s="11" t="n">
        <v>4</v>
      </c>
      <c r="M72" s="11" t="n">
        <v>3</v>
      </c>
      <c r="N72" s="11" t="n">
        <v>4</v>
      </c>
      <c r="O72" s="11" t="n">
        <v>3</v>
      </c>
      <c r="P72" s="11" t="n">
        <v>3</v>
      </c>
      <c r="Q72" s="11" t="n">
        <v>2</v>
      </c>
      <c r="R72" s="14" t="n">
        <v>1</v>
      </c>
      <c r="S72" s="8" t="n">
        <f aca="false">IF(E72="Ngoài HN",1,IF(E72="","",6-VALUE(E72)))</f>
        <v>3</v>
      </c>
      <c r="T72" s="11" t="n">
        <v>4</v>
      </c>
      <c r="U72" s="11" t="n">
        <v>3</v>
      </c>
      <c r="V72" s="21" t="n">
        <f aca="false">ROUND(SUMPRODUCT(K72:U72,$K$3:$U$3)/(5*SUM($K$3:$U$3))*100,1)</f>
        <v>61</v>
      </c>
      <c r="W72" s="22" t="str">
        <f aca="false">IF(E72="Ngoài HN","Đợt 4 – Ngoài HN",IF(V72&gt;='Trọng số'!$C$19,"Đợt 1",IF(V72&gt;='Trọng số'!$C$20,"Đợt 2","Đợt 3")))</f>
        <v>Đợt 3</v>
      </c>
      <c r="X72" s="23" t="str">
        <f aca="false">IF(K72&gt;=4,"LMS + số hóa học liệu",IF(K72=3,"Nâng cấp/thay LMS + số hóa học liệu","Số hóa học liệu, chạy trên LMS sẵn có"))&amp;IF(L72&gt;=4," + mô phỏng","")&amp;IF(M72&gt;=4," + ngoại ngữ","")</f>
        <v>LMS + số hóa học liệu + mô phỏng</v>
      </c>
      <c r="Y72" s="9" t="s">
        <v>260</v>
      </c>
      <c r="Z72" s="24" t="s">
        <v>579</v>
      </c>
      <c r="AA72" s="9"/>
      <c r="AB72" s="9" t="s">
        <v>580</v>
      </c>
      <c r="AC72" s="9" t="s">
        <v>581</v>
      </c>
    </row>
    <row r="73" customFormat="false" ht="75" hidden="false" customHeight="true" outlineLevel="0" collapsed="false">
      <c r="A73" s="8" t="n">
        <f aca="false">RANK(V73,$V$5:$V$101)</f>
        <v>69</v>
      </c>
      <c r="B73" s="7" t="s">
        <v>582</v>
      </c>
      <c r="C73" s="9" t="s">
        <v>237</v>
      </c>
      <c r="D73" s="9" t="s">
        <v>534</v>
      </c>
      <c r="E73" s="11" t="s">
        <v>380</v>
      </c>
      <c r="F73" s="9" t="n">
        <v>22</v>
      </c>
      <c r="G73" s="9" t="s">
        <v>583</v>
      </c>
      <c r="H73" s="9" t="s">
        <v>584</v>
      </c>
      <c r="I73" s="9" t="s">
        <v>585</v>
      </c>
      <c r="J73" s="9" t="s">
        <v>311</v>
      </c>
      <c r="K73" s="11" t="n">
        <v>5</v>
      </c>
      <c r="L73" s="11" t="n">
        <v>4</v>
      </c>
      <c r="M73" s="11" t="n">
        <v>3</v>
      </c>
      <c r="N73" s="11" t="n">
        <v>4</v>
      </c>
      <c r="O73" s="11" t="n">
        <v>3</v>
      </c>
      <c r="P73" s="11" t="n">
        <v>3</v>
      </c>
      <c r="Q73" s="11" t="n">
        <v>2</v>
      </c>
      <c r="R73" s="14" t="n">
        <v>1</v>
      </c>
      <c r="S73" s="8" t="n">
        <f aca="false">IF(E73="Ngoài HN",1,IF(E73="","",6-VALUE(E73)))</f>
        <v>2</v>
      </c>
      <c r="T73" s="11" t="n">
        <v>3</v>
      </c>
      <c r="U73" s="11" t="n">
        <v>3</v>
      </c>
      <c r="V73" s="21" t="n">
        <f aca="false">ROUND(SUMPRODUCT(K73:U73,$K$3:$U$3)/(5*SUM($K$3:$U$3))*100,1)</f>
        <v>60.8</v>
      </c>
      <c r="W73" s="22" t="str">
        <f aca="false">IF(E73="Ngoài HN","Đợt 4 – Ngoài HN",IF(V73&gt;='Trọng số'!$C$19,"Đợt 1",IF(V73&gt;='Trọng số'!$C$20,"Đợt 2","Đợt 3")))</f>
        <v>Đợt 3</v>
      </c>
      <c r="X73" s="23" t="str">
        <f aca="false">IF(K73&gt;=4,"LMS + số hóa học liệu",IF(K73=3,"Nâng cấp/thay LMS + số hóa học liệu","Số hóa học liệu, chạy trên LMS sẵn có"))&amp;IF(L73&gt;=4," + mô phỏng","")&amp;IF(M73&gt;=4," + ngoại ngữ","")</f>
        <v>LMS + số hóa học liệu + mô phỏng</v>
      </c>
      <c r="Y73" s="9" t="s">
        <v>538</v>
      </c>
      <c r="Z73" s="24" t="s">
        <v>586</v>
      </c>
      <c r="AA73" s="9"/>
      <c r="AB73" s="9" t="s">
        <v>587</v>
      </c>
      <c r="AC73" s="9" t="s">
        <v>588</v>
      </c>
    </row>
    <row r="74" customFormat="false" ht="75" hidden="false" customHeight="true" outlineLevel="0" collapsed="false">
      <c r="A74" s="8" t="n">
        <f aca="false">RANK(V74,$V$5:$V$101)</f>
        <v>70</v>
      </c>
      <c r="B74" s="7" t="s">
        <v>589</v>
      </c>
      <c r="C74" s="9" t="s">
        <v>226</v>
      </c>
      <c r="D74" s="9" t="s">
        <v>339</v>
      </c>
      <c r="E74" s="11" t="s">
        <v>249</v>
      </c>
      <c r="F74" s="9"/>
      <c r="G74" s="9" t="s">
        <v>590</v>
      </c>
      <c r="H74" s="9" t="s">
        <v>230</v>
      </c>
      <c r="I74" s="9" t="s">
        <v>231</v>
      </c>
      <c r="J74" s="9" t="s">
        <v>278</v>
      </c>
      <c r="K74" s="11" t="n">
        <v>3</v>
      </c>
      <c r="L74" s="11" t="n">
        <v>4</v>
      </c>
      <c r="M74" s="11" t="n">
        <v>4</v>
      </c>
      <c r="N74" s="11" t="n">
        <v>4</v>
      </c>
      <c r="O74" s="11" t="n">
        <v>2</v>
      </c>
      <c r="P74" s="11" t="n">
        <v>3</v>
      </c>
      <c r="Q74" s="11" t="n">
        <v>3</v>
      </c>
      <c r="R74" s="14" t="n">
        <v>1</v>
      </c>
      <c r="S74" s="8" t="n">
        <f aca="false">IF(E74="Ngoài HN",1,IF(E74="","",6-VALUE(E74)))</f>
        <v>3</v>
      </c>
      <c r="T74" s="11" t="n">
        <v>4</v>
      </c>
      <c r="U74" s="11" t="n">
        <v>3</v>
      </c>
      <c r="V74" s="21" t="n">
        <f aca="false">ROUND(SUMPRODUCT(K74:U74,$K$3:$U$3)/(5*SUM($K$3:$U$3))*100,1)</f>
        <v>60.6</v>
      </c>
      <c r="W74" s="22" t="str">
        <f aca="false">IF(E74="Ngoài HN","Đợt 4 – Ngoài HN",IF(V74&gt;='Trọng số'!$C$19,"Đợt 1",IF(V74&gt;='Trọng số'!$C$20,"Đợt 2","Đợt 3")))</f>
        <v>Đợt 3</v>
      </c>
      <c r="X74" s="23" t="str">
        <f aca="false">IF(K74&gt;=4,"LMS + số hóa học liệu",IF(K74=3,"Nâng cấp/thay LMS + số hóa học liệu","Số hóa học liệu, chạy trên LMS sẵn có"))&amp;IF(L74&gt;=4," + mô phỏng","")&amp;IF(M74&gt;=4," + ngoại ngữ","")</f>
        <v>Nâng cấp/thay LMS + số hóa học liệu + mô phỏng + ngoại ngữ</v>
      </c>
      <c r="Y74" s="9" t="s">
        <v>233</v>
      </c>
      <c r="Z74" s="24" t="s">
        <v>591</v>
      </c>
      <c r="AA74" s="9"/>
      <c r="AB74" s="9"/>
      <c r="AC74" s="9" t="s">
        <v>235</v>
      </c>
    </row>
    <row r="75" customFormat="false" ht="75" hidden="false" customHeight="true" outlineLevel="0" collapsed="false">
      <c r="A75" s="8" t="n">
        <f aca="false">RANK(V75,$V$5:$V$101)</f>
        <v>71</v>
      </c>
      <c r="B75" s="7" t="s">
        <v>592</v>
      </c>
      <c r="C75" s="9" t="s">
        <v>237</v>
      </c>
      <c r="D75" s="9" t="s">
        <v>534</v>
      </c>
      <c r="E75" s="11" t="s">
        <v>380</v>
      </c>
      <c r="F75" s="9" t="n">
        <v>18</v>
      </c>
      <c r="G75" s="9" t="s">
        <v>593</v>
      </c>
      <c r="H75" s="9" t="s">
        <v>594</v>
      </c>
      <c r="I75" s="9" t="s">
        <v>595</v>
      </c>
      <c r="J75" s="9" t="s">
        <v>311</v>
      </c>
      <c r="K75" s="11" t="n">
        <v>4</v>
      </c>
      <c r="L75" s="11" t="n">
        <v>5</v>
      </c>
      <c r="M75" s="11" t="n">
        <v>3</v>
      </c>
      <c r="N75" s="11" t="n">
        <v>4</v>
      </c>
      <c r="O75" s="11" t="n">
        <v>3</v>
      </c>
      <c r="P75" s="11" t="n">
        <v>3</v>
      </c>
      <c r="Q75" s="11" t="n">
        <v>2</v>
      </c>
      <c r="R75" s="14" t="n">
        <v>1</v>
      </c>
      <c r="S75" s="8" t="n">
        <f aca="false">IF(E75="Ngoài HN",1,IF(E75="","",6-VALUE(E75)))</f>
        <v>2</v>
      </c>
      <c r="T75" s="11" t="n">
        <v>3</v>
      </c>
      <c r="U75" s="11" t="n">
        <v>3</v>
      </c>
      <c r="V75" s="21" t="n">
        <f aca="false">ROUND(SUMPRODUCT(K75:U75,$K$3:$U$3)/(5*SUM($K$3:$U$3))*100,1)</f>
        <v>60.4</v>
      </c>
      <c r="W75" s="22" t="str">
        <f aca="false">IF(E75="Ngoài HN","Đợt 4 – Ngoài HN",IF(V75&gt;='Trọng số'!$C$19,"Đợt 1",IF(V75&gt;='Trọng số'!$C$20,"Đợt 2","Đợt 3")))</f>
        <v>Đợt 3</v>
      </c>
      <c r="X75" s="23" t="str">
        <f aca="false">IF(K75&gt;=4,"LMS + số hóa học liệu",IF(K75=3,"Nâng cấp/thay LMS + số hóa học liệu","Số hóa học liệu, chạy trên LMS sẵn có"))&amp;IF(L75&gt;=4," + mô phỏng","")&amp;IF(M75&gt;=4," + ngoại ngữ","")</f>
        <v>LMS + số hóa học liệu + mô phỏng</v>
      </c>
      <c r="Y75" s="9" t="s">
        <v>596</v>
      </c>
      <c r="Z75" s="24" t="s">
        <v>597</v>
      </c>
      <c r="AA75" s="9"/>
      <c r="AB75" s="9" t="s">
        <v>598</v>
      </c>
      <c r="AC75" s="9" t="s">
        <v>599</v>
      </c>
    </row>
    <row r="76" customFormat="false" ht="75" hidden="false" customHeight="true" outlineLevel="0" collapsed="false">
      <c r="A76" s="8" t="n">
        <f aca="false">RANK(V76,$V$5:$V$101)</f>
        <v>72</v>
      </c>
      <c r="B76" s="7" t="s">
        <v>600</v>
      </c>
      <c r="C76" s="9" t="s">
        <v>237</v>
      </c>
      <c r="D76" s="9" t="s">
        <v>376</v>
      </c>
      <c r="E76" s="11" t="s">
        <v>228</v>
      </c>
      <c r="F76" s="9" t="n">
        <v>4</v>
      </c>
      <c r="G76" s="9" t="s">
        <v>601</v>
      </c>
      <c r="H76" s="9" t="s">
        <v>602</v>
      </c>
      <c r="I76" s="9" t="s">
        <v>603</v>
      </c>
      <c r="J76" s="9" t="s">
        <v>311</v>
      </c>
      <c r="K76" s="11" t="n">
        <v>5</v>
      </c>
      <c r="L76" s="11" t="n">
        <v>1</v>
      </c>
      <c r="M76" s="11" t="n">
        <v>5</v>
      </c>
      <c r="N76" s="11" t="n">
        <v>4</v>
      </c>
      <c r="O76" s="11" t="n">
        <v>3</v>
      </c>
      <c r="P76" s="11" t="n">
        <v>3</v>
      </c>
      <c r="Q76" s="11" t="n">
        <v>2</v>
      </c>
      <c r="R76" s="14" t="n">
        <v>1</v>
      </c>
      <c r="S76" s="8" t="n">
        <f aca="false">IF(E76="Ngoài HN",1,IF(E76="","",6-VALUE(E76)))</f>
        <v>5</v>
      </c>
      <c r="T76" s="11" t="n">
        <v>2</v>
      </c>
      <c r="U76" s="11" t="n">
        <v>3</v>
      </c>
      <c r="V76" s="21" t="n">
        <f aca="false">ROUND(SUMPRODUCT(K76:U76,$K$3:$U$3)/(5*SUM($K$3:$U$3))*100,1)</f>
        <v>60.2</v>
      </c>
      <c r="W76" s="22" t="str">
        <f aca="false">IF(E76="Ngoài HN","Đợt 4 – Ngoài HN",IF(V76&gt;='Trọng số'!$C$19,"Đợt 1",IF(V76&gt;='Trọng số'!$C$20,"Đợt 2","Đợt 3")))</f>
        <v>Đợt 3</v>
      </c>
      <c r="X76" s="23" t="str">
        <f aca="false">IF(K76&gt;=4,"LMS + số hóa học liệu",IF(K76=3,"Nâng cấp/thay LMS + số hóa học liệu","Số hóa học liệu, chạy trên LMS sẵn có"))&amp;IF(L76&gt;=4," + mô phỏng","")&amp;IF(M76&gt;=4," + ngoại ngữ","")</f>
        <v>LMS + số hóa học liệu + ngoại ngữ</v>
      </c>
      <c r="Y76" s="9" t="s">
        <v>260</v>
      </c>
      <c r="Z76" s="24" t="s">
        <v>604</v>
      </c>
      <c r="AA76" s="9"/>
      <c r="AB76" s="9" t="s">
        <v>605</v>
      </c>
      <c r="AC76" s="9" t="s">
        <v>606</v>
      </c>
    </row>
    <row r="77" customFormat="false" ht="75" hidden="false" customHeight="true" outlineLevel="0" collapsed="false">
      <c r="A77" s="8" t="n">
        <f aca="false">RANK(V77,$V$5:$V$101)</f>
        <v>73</v>
      </c>
      <c r="B77" s="7" t="s">
        <v>607</v>
      </c>
      <c r="C77" s="9" t="s">
        <v>237</v>
      </c>
      <c r="D77" s="9" t="s">
        <v>608</v>
      </c>
      <c r="E77" s="11" t="s">
        <v>249</v>
      </c>
      <c r="F77" s="9" t="n">
        <v>12</v>
      </c>
      <c r="G77" s="9" t="s">
        <v>609</v>
      </c>
      <c r="H77" s="9" t="s">
        <v>610</v>
      </c>
      <c r="I77" s="9" t="s">
        <v>611</v>
      </c>
      <c r="J77" s="9" t="s">
        <v>311</v>
      </c>
      <c r="K77" s="11" t="n">
        <v>3</v>
      </c>
      <c r="L77" s="11" t="n">
        <v>3</v>
      </c>
      <c r="M77" s="11" t="n">
        <v>5</v>
      </c>
      <c r="N77" s="11" t="n">
        <v>4</v>
      </c>
      <c r="O77" s="11" t="n">
        <v>3</v>
      </c>
      <c r="P77" s="11" t="n">
        <v>3</v>
      </c>
      <c r="Q77" s="11" t="n">
        <v>2</v>
      </c>
      <c r="R77" s="14" t="n">
        <v>1</v>
      </c>
      <c r="S77" s="8" t="n">
        <f aca="false">IF(E77="Ngoài HN",1,IF(E77="","",6-VALUE(E77)))</f>
        <v>3</v>
      </c>
      <c r="T77" s="11" t="n">
        <v>4</v>
      </c>
      <c r="U77" s="11" t="n">
        <v>3</v>
      </c>
      <c r="V77" s="21" t="n">
        <f aca="false">ROUND(SUMPRODUCT(K77:U77,$K$3:$U$3)/(5*SUM($K$3:$U$3))*100,1)</f>
        <v>59.8</v>
      </c>
      <c r="W77" s="22" t="str">
        <f aca="false">IF(E77="Ngoài HN","Đợt 4 – Ngoài HN",IF(V77&gt;='Trọng số'!$C$19,"Đợt 1",IF(V77&gt;='Trọng số'!$C$20,"Đợt 2","Đợt 3")))</f>
        <v>Đợt 3</v>
      </c>
      <c r="X77" s="23" t="str">
        <f aca="false">IF(K77&gt;=4,"LMS + số hóa học liệu",IF(K77=3,"Nâng cấp/thay LMS + số hóa học liệu","Số hóa học liệu, chạy trên LMS sẵn có"))&amp;IF(L77&gt;=4," + mô phỏng","")&amp;IF(M77&gt;=4," + ngoại ngữ","")</f>
        <v>Nâng cấp/thay LMS + số hóa học liệu + ngoại ngữ</v>
      </c>
      <c r="Y77" s="9" t="s">
        <v>260</v>
      </c>
      <c r="Z77" s="24" t="s">
        <v>612</v>
      </c>
      <c r="AA77" s="9"/>
      <c r="AB77" s="9" t="s">
        <v>613</v>
      </c>
      <c r="AC77" s="9" t="s">
        <v>614</v>
      </c>
    </row>
    <row r="78" customFormat="false" ht="75" hidden="false" customHeight="true" outlineLevel="0" collapsed="false">
      <c r="A78" s="8" t="n">
        <f aca="false">RANK(V78,$V$5:$V$101)</f>
        <v>74</v>
      </c>
      <c r="B78" s="7" t="s">
        <v>615</v>
      </c>
      <c r="C78" s="9" t="s">
        <v>237</v>
      </c>
      <c r="D78" s="9" t="s">
        <v>534</v>
      </c>
      <c r="E78" s="11" t="s">
        <v>616</v>
      </c>
      <c r="F78" s="9" t="n">
        <v>26</v>
      </c>
      <c r="G78" s="9" t="s">
        <v>617</v>
      </c>
      <c r="H78" s="9" t="s">
        <v>618</v>
      </c>
      <c r="I78" s="9" t="s">
        <v>619</v>
      </c>
      <c r="J78" s="9" t="s">
        <v>311</v>
      </c>
      <c r="K78" s="11" t="n">
        <v>3</v>
      </c>
      <c r="L78" s="11" t="n">
        <v>5</v>
      </c>
      <c r="M78" s="11" t="n">
        <v>3</v>
      </c>
      <c r="N78" s="11" t="n">
        <v>4</v>
      </c>
      <c r="O78" s="11" t="n">
        <v>3</v>
      </c>
      <c r="P78" s="11" t="n">
        <v>3</v>
      </c>
      <c r="Q78" s="11" t="n">
        <v>2</v>
      </c>
      <c r="R78" s="14" t="n">
        <v>1</v>
      </c>
      <c r="S78" s="8" t="n">
        <f aca="false">IF(E78="Ngoài HN",1,IF(E78="","",6-VALUE(E78)))</f>
        <v>1</v>
      </c>
      <c r="T78" s="11" t="n">
        <v>5</v>
      </c>
      <c r="U78" s="11" t="n">
        <v>3</v>
      </c>
      <c r="V78" s="21" t="n">
        <f aca="false">ROUND(SUMPRODUCT(K78:U78,$K$3:$U$3)/(5*SUM($K$3:$U$3))*100,1)</f>
        <v>59.6</v>
      </c>
      <c r="W78" s="22" t="str">
        <f aca="false">IF(E78="Ngoài HN","Đợt 4 – Ngoài HN",IF(V78&gt;='Trọng số'!$C$19,"Đợt 1",IF(V78&gt;='Trọng số'!$C$20,"Đợt 2","Đợt 3")))</f>
        <v>Đợt 4 – Ngoài HN</v>
      </c>
      <c r="X78" s="23" t="str">
        <f aca="false">IF(K78&gt;=4,"LMS + số hóa học liệu",IF(K78=3,"Nâng cấp/thay LMS + số hóa học liệu","Số hóa học liệu, chạy trên LMS sẵn có"))&amp;IF(L78&gt;=4," + mô phỏng","")&amp;IF(M78&gt;=4," + ngoại ngữ","")</f>
        <v>Nâng cấp/thay LMS + số hóa học liệu + mô phỏng</v>
      </c>
      <c r="Y78" s="9" t="s">
        <v>620</v>
      </c>
      <c r="Z78" s="24" t="s">
        <v>621</v>
      </c>
      <c r="AA78" s="9"/>
      <c r="AB78" s="9" t="s">
        <v>622</v>
      </c>
      <c r="AC78" s="9" t="s">
        <v>623</v>
      </c>
    </row>
    <row r="79" customFormat="false" ht="75" hidden="false" customHeight="true" outlineLevel="0" collapsed="false">
      <c r="A79" s="8" t="n">
        <f aca="false">RANK(V79,$V$5:$V$101)</f>
        <v>74</v>
      </c>
      <c r="B79" s="7" t="s">
        <v>624</v>
      </c>
      <c r="C79" s="9" t="s">
        <v>226</v>
      </c>
      <c r="D79" s="9" t="s">
        <v>335</v>
      </c>
      <c r="E79" s="11" t="s">
        <v>380</v>
      </c>
      <c r="F79" s="9"/>
      <c r="G79" s="9" t="s">
        <v>625</v>
      </c>
      <c r="H79" s="9" t="s">
        <v>230</v>
      </c>
      <c r="I79" s="9" t="s">
        <v>231</v>
      </c>
      <c r="J79" s="9" t="s">
        <v>278</v>
      </c>
      <c r="K79" s="11" t="n">
        <v>3</v>
      </c>
      <c r="L79" s="11" t="n">
        <v>4</v>
      </c>
      <c r="M79" s="11" t="n">
        <v>4</v>
      </c>
      <c r="N79" s="11" t="n">
        <v>4</v>
      </c>
      <c r="O79" s="11" t="n">
        <v>3</v>
      </c>
      <c r="P79" s="11" t="n">
        <v>3</v>
      </c>
      <c r="Q79" s="11" t="n">
        <v>3</v>
      </c>
      <c r="R79" s="14" t="n">
        <v>1</v>
      </c>
      <c r="S79" s="8" t="n">
        <f aca="false">IF(E79="Ngoài HN",1,IF(E79="","",6-VALUE(E79)))</f>
        <v>2</v>
      </c>
      <c r="T79" s="11" t="n">
        <v>3</v>
      </c>
      <c r="U79" s="11" t="n">
        <v>3</v>
      </c>
      <c r="V79" s="21" t="n">
        <f aca="false">ROUND(SUMPRODUCT(K79:U79,$K$3:$U$3)/(5*SUM($K$3:$U$3))*100,1)</f>
        <v>59.6</v>
      </c>
      <c r="W79" s="22" t="str">
        <f aca="false">IF(E79="Ngoài HN","Đợt 4 – Ngoài HN",IF(V79&gt;='Trọng số'!$C$19,"Đợt 1",IF(V79&gt;='Trọng số'!$C$20,"Đợt 2","Đợt 3")))</f>
        <v>Đợt 3</v>
      </c>
      <c r="X79" s="23" t="str">
        <f aca="false">IF(K79&gt;=4,"LMS + số hóa học liệu",IF(K79=3,"Nâng cấp/thay LMS + số hóa học liệu","Số hóa học liệu, chạy trên LMS sẵn có"))&amp;IF(L79&gt;=4," + mô phỏng","")&amp;IF(M79&gt;=4," + ngoại ngữ","")</f>
        <v>Nâng cấp/thay LMS + số hóa học liệu + mô phỏng + ngoại ngữ</v>
      </c>
      <c r="Y79" s="9" t="s">
        <v>233</v>
      </c>
      <c r="Z79" s="24" t="s">
        <v>626</v>
      </c>
      <c r="AA79" s="9"/>
      <c r="AB79" s="9"/>
      <c r="AC79" s="9" t="s">
        <v>235</v>
      </c>
    </row>
    <row r="80" customFormat="false" ht="75" hidden="false" customHeight="true" outlineLevel="0" collapsed="false">
      <c r="A80" s="8" t="n">
        <f aca="false">RANK(V80,$V$5:$V$101)</f>
        <v>76</v>
      </c>
      <c r="B80" s="7" t="s">
        <v>627</v>
      </c>
      <c r="C80" s="9" t="s">
        <v>237</v>
      </c>
      <c r="D80" s="9" t="s">
        <v>371</v>
      </c>
      <c r="E80" s="11" t="s">
        <v>249</v>
      </c>
      <c r="F80" s="9" t="n">
        <v>12</v>
      </c>
      <c r="G80" s="9" t="s">
        <v>628</v>
      </c>
      <c r="H80" s="9" t="s">
        <v>629</v>
      </c>
      <c r="I80" s="9" t="s">
        <v>630</v>
      </c>
      <c r="J80" s="9" t="s">
        <v>311</v>
      </c>
      <c r="K80" s="11" t="n">
        <v>3</v>
      </c>
      <c r="L80" s="11" t="n">
        <v>3</v>
      </c>
      <c r="M80" s="11" t="n">
        <v>3</v>
      </c>
      <c r="N80" s="11" t="n">
        <v>4</v>
      </c>
      <c r="O80" s="11" t="n">
        <v>3</v>
      </c>
      <c r="P80" s="11" t="n">
        <v>3</v>
      </c>
      <c r="Q80" s="11" t="n">
        <v>2</v>
      </c>
      <c r="R80" s="14" t="n">
        <v>1</v>
      </c>
      <c r="S80" s="8" t="n">
        <f aca="false">IF(E80="Ngoài HN",1,IF(E80="","",6-VALUE(E80)))</f>
        <v>3</v>
      </c>
      <c r="T80" s="11" t="n">
        <v>5</v>
      </c>
      <c r="U80" s="11" t="n">
        <v>4</v>
      </c>
      <c r="V80" s="21" t="n">
        <f aca="false">ROUND(SUMPRODUCT(K80:U80,$K$3:$U$3)/(5*SUM($K$3:$U$3))*100,1)</f>
        <v>59.4</v>
      </c>
      <c r="W80" s="22" t="str">
        <f aca="false">IF(E80="Ngoài HN","Đợt 4 – Ngoài HN",IF(V80&gt;='Trọng số'!$C$19,"Đợt 1",IF(V80&gt;='Trọng số'!$C$20,"Đợt 2","Đợt 3")))</f>
        <v>Đợt 3</v>
      </c>
      <c r="X80" s="23" t="str">
        <f aca="false">IF(K80&gt;=4,"LMS + số hóa học liệu",IF(K80=3,"Nâng cấp/thay LMS + số hóa học liệu","Số hóa học liệu, chạy trên LMS sẵn có"))&amp;IF(L80&gt;=4," + mô phỏng","")&amp;IF(M80&gt;=4," + ngoại ngữ","")</f>
        <v>Nâng cấp/thay LMS + số hóa học liệu</v>
      </c>
      <c r="Y80" s="9" t="s">
        <v>260</v>
      </c>
      <c r="Z80" s="24" t="s">
        <v>631</v>
      </c>
      <c r="AA80" s="9"/>
      <c r="AB80" s="9" t="s">
        <v>632</v>
      </c>
      <c r="AC80" s="9" t="s">
        <v>633</v>
      </c>
    </row>
    <row r="81" customFormat="false" ht="75" hidden="false" customHeight="true" outlineLevel="0" collapsed="false">
      <c r="A81" s="8" t="n">
        <f aca="false">RANK(V81,$V$5:$V$101)</f>
        <v>76</v>
      </c>
      <c r="B81" s="7" t="s">
        <v>634</v>
      </c>
      <c r="C81" s="9" t="s">
        <v>237</v>
      </c>
      <c r="D81" s="9" t="s">
        <v>635</v>
      </c>
      <c r="E81" s="11" t="s">
        <v>380</v>
      </c>
      <c r="F81" s="9" t="n">
        <v>19.5</v>
      </c>
      <c r="G81" s="9" t="s">
        <v>636</v>
      </c>
      <c r="H81" s="9" t="s">
        <v>637</v>
      </c>
      <c r="I81" s="9" t="s">
        <v>638</v>
      </c>
      <c r="J81" s="9" t="s">
        <v>311</v>
      </c>
      <c r="K81" s="11" t="n">
        <v>3</v>
      </c>
      <c r="L81" s="11" t="n">
        <v>5</v>
      </c>
      <c r="M81" s="11" t="n">
        <v>3</v>
      </c>
      <c r="N81" s="11" t="n">
        <v>4</v>
      </c>
      <c r="O81" s="11" t="n">
        <v>3</v>
      </c>
      <c r="P81" s="11" t="n">
        <v>3</v>
      </c>
      <c r="Q81" s="11" t="n">
        <v>2</v>
      </c>
      <c r="R81" s="14" t="n">
        <v>1</v>
      </c>
      <c r="S81" s="8" t="n">
        <f aca="false">IF(E81="Ngoài HN",1,IF(E81="","",6-VALUE(E81)))</f>
        <v>2</v>
      </c>
      <c r="T81" s="11" t="n">
        <v>4</v>
      </c>
      <c r="U81" s="11" t="n">
        <v>3</v>
      </c>
      <c r="V81" s="21" t="n">
        <f aca="false">ROUND(SUMPRODUCT(K81:U81,$K$3:$U$3)/(5*SUM($K$3:$U$3))*100,1)</f>
        <v>59.4</v>
      </c>
      <c r="W81" s="22" t="str">
        <f aca="false">IF(E81="Ngoài HN","Đợt 4 – Ngoài HN",IF(V81&gt;='Trọng số'!$C$19,"Đợt 1",IF(V81&gt;='Trọng số'!$C$20,"Đợt 2","Đợt 3")))</f>
        <v>Đợt 3</v>
      </c>
      <c r="X81" s="23" t="str">
        <f aca="false">IF(K81&gt;=4,"LMS + số hóa học liệu",IF(K81=3,"Nâng cấp/thay LMS + số hóa học liệu","Số hóa học liệu, chạy trên LMS sẵn có"))&amp;IF(L81&gt;=4," + mô phỏng","")&amp;IF(M81&gt;=4," + ngoại ngữ","")</f>
        <v>Nâng cấp/thay LMS + số hóa học liệu + mô phỏng</v>
      </c>
      <c r="Y81" s="9" t="s">
        <v>260</v>
      </c>
      <c r="Z81" s="24" t="s">
        <v>639</v>
      </c>
      <c r="AA81" s="9"/>
      <c r="AB81" s="9" t="s">
        <v>640</v>
      </c>
      <c r="AC81" s="9" t="s">
        <v>641</v>
      </c>
    </row>
    <row r="82" customFormat="false" ht="75" hidden="false" customHeight="true" outlineLevel="0" collapsed="false">
      <c r="A82" s="8" t="n">
        <f aca="false">RANK(V82,$V$5:$V$101)</f>
        <v>76</v>
      </c>
      <c r="B82" s="7" t="s">
        <v>642</v>
      </c>
      <c r="C82" s="9" t="s">
        <v>237</v>
      </c>
      <c r="D82" s="9" t="s">
        <v>534</v>
      </c>
      <c r="E82" s="11" t="s">
        <v>380</v>
      </c>
      <c r="F82" s="9" t="n">
        <v>25</v>
      </c>
      <c r="G82" s="9" t="s">
        <v>643</v>
      </c>
      <c r="H82" s="9" t="s">
        <v>644</v>
      </c>
      <c r="I82" s="9" t="s">
        <v>645</v>
      </c>
      <c r="J82" s="9" t="s">
        <v>311</v>
      </c>
      <c r="K82" s="11" t="n">
        <v>3</v>
      </c>
      <c r="L82" s="11" t="n">
        <v>5</v>
      </c>
      <c r="M82" s="11" t="n">
        <v>3</v>
      </c>
      <c r="N82" s="11" t="n">
        <v>4</v>
      </c>
      <c r="O82" s="11" t="n">
        <v>3</v>
      </c>
      <c r="P82" s="11" t="n">
        <v>3</v>
      </c>
      <c r="Q82" s="11" t="n">
        <v>2</v>
      </c>
      <c r="R82" s="14" t="n">
        <v>1</v>
      </c>
      <c r="S82" s="8" t="n">
        <f aca="false">IF(E82="Ngoài HN",1,IF(E82="","",6-VALUE(E82)))</f>
        <v>2</v>
      </c>
      <c r="T82" s="11" t="n">
        <v>4</v>
      </c>
      <c r="U82" s="11" t="n">
        <v>3</v>
      </c>
      <c r="V82" s="21" t="n">
        <f aca="false">ROUND(SUMPRODUCT(K82:U82,$K$3:$U$3)/(5*SUM($K$3:$U$3))*100,1)</f>
        <v>59.4</v>
      </c>
      <c r="W82" s="22" t="str">
        <f aca="false">IF(E82="Ngoài HN","Đợt 4 – Ngoài HN",IF(V82&gt;='Trọng số'!$C$19,"Đợt 1",IF(V82&gt;='Trọng số'!$C$20,"Đợt 2","Đợt 3")))</f>
        <v>Đợt 3</v>
      </c>
      <c r="X82" s="23" t="str">
        <f aca="false">IF(K82&gt;=4,"LMS + số hóa học liệu",IF(K82=3,"Nâng cấp/thay LMS + số hóa học liệu","Số hóa học liệu, chạy trên LMS sẵn có"))&amp;IF(L82&gt;=4," + mô phỏng","")&amp;IF(M82&gt;=4," + ngoại ngữ","")</f>
        <v>Nâng cấp/thay LMS + số hóa học liệu + mô phỏng</v>
      </c>
      <c r="Y82" s="9" t="s">
        <v>563</v>
      </c>
      <c r="Z82" s="24" t="s">
        <v>646</v>
      </c>
      <c r="AA82" s="9"/>
      <c r="AB82" s="9" t="s">
        <v>647</v>
      </c>
      <c r="AC82" s="9" t="s">
        <v>648</v>
      </c>
    </row>
    <row r="83" customFormat="false" ht="75" hidden="false" customHeight="true" outlineLevel="0" collapsed="false">
      <c r="A83" s="8" t="n">
        <f aca="false">RANK(V83,$V$5:$V$101)</f>
        <v>76</v>
      </c>
      <c r="B83" s="7" t="s">
        <v>649</v>
      </c>
      <c r="C83" s="9" t="s">
        <v>237</v>
      </c>
      <c r="D83" s="9" t="s">
        <v>650</v>
      </c>
      <c r="E83" s="11" t="s">
        <v>380</v>
      </c>
      <c r="F83" s="9" t="n">
        <v>26</v>
      </c>
      <c r="G83" s="9" t="s">
        <v>651</v>
      </c>
      <c r="H83" s="9" t="s">
        <v>652</v>
      </c>
      <c r="I83" s="9" t="s">
        <v>653</v>
      </c>
      <c r="J83" s="9" t="s">
        <v>311</v>
      </c>
      <c r="K83" s="11" t="n">
        <v>5</v>
      </c>
      <c r="L83" s="11" t="n">
        <v>4</v>
      </c>
      <c r="M83" s="11" t="n">
        <v>3</v>
      </c>
      <c r="N83" s="11" t="n">
        <v>4</v>
      </c>
      <c r="O83" s="11" t="n">
        <v>3</v>
      </c>
      <c r="P83" s="11" t="n">
        <v>3</v>
      </c>
      <c r="Q83" s="11" t="n">
        <v>2</v>
      </c>
      <c r="R83" s="14" t="n">
        <v>1</v>
      </c>
      <c r="S83" s="8" t="n">
        <f aca="false">IF(E83="Ngoài HN",1,IF(E83="","",6-VALUE(E83)))</f>
        <v>2</v>
      </c>
      <c r="T83" s="11" t="n">
        <v>2</v>
      </c>
      <c r="U83" s="11" t="n">
        <v>3</v>
      </c>
      <c r="V83" s="21" t="n">
        <f aca="false">ROUND(SUMPRODUCT(K83:U83,$K$3:$U$3)/(5*SUM($K$3:$U$3))*100,1)</f>
        <v>59.4</v>
      </c>
      <c r="W83" s="22" t="str">
        <f aca="false">IF(E83="Ngoài HN","Đợt 4 – Ngoài HN",IF(V83&gt;='Trọng số'!$C$19,"Đợt 1",IF(V83&gt;='Trọng số'!$C$20,"Đợt 2","Đợt 3")))</f>
        <v>Đợt 3</v>
      </c>
      <c r="X83" s="23" t="str">
        <f aca="false">IF(K83&gt;=4,"LMS + số hóa học liệu",IF(K83=3,"Nâng cấp/thay LMS + số hóa học liệu","Số hóa học liệu, chạy trên LMS sẵn có"))&amp;IF(L83&gt;=4," + mô phỏng","")&amp;IF(M83&gt;=4," + ngoại ngữ","")</f>
        <v>LMS + số hóa học liệu + mô phỏng</v>
      </c>
      <c r="Y83" s="9" t="s">
        <v>654</v>
      </c>
      <c r="Z83" s="24" t="s">
        <v>655</v>
      </c>
      <c r="AA83" s="9"/>
      <c r="AB83" s="9"/>
      <c r="AC83" s="9" t="s">
        <v>656</v>
      </c>
    </row>
    <row r="84" customFormat="false" ht="75" hidden="false" customHeight="true" outlineLevel="0" collapsed="false">
      <c r="A84" s="8" t="n">
        <f aca="false">RANK(V84,$V$5:$V$101)</f>
        <v>80</v>
      </c>
      <c r="B84" s="7" t="s">
        <v>657</v>
      </c>
      <c r="C84" s="9" t="s">
        <v>237</v>
      </c>
      <c r="D84" s="9" t="s">
        <v>658</v>
      </c>
      <c r="E84" s="11" t="s">
        <v>249</v>
      </c>
      <c r="F84" s="9" t="n">
        <v>15</v>
      </c>
      <c r="G84" s="9" t="s">
        <v>659</v>
      </c>
      <c r="H84" s="9" t="s">
        <v>660</v>
      </c>
      <c r="I84" s="9" t="s">
        <v>661</v>
      </c>
      <c r="J84" s="9" t="s">
        <v>311</v>
      </c>
      <c r="K84" s="11" t="n">
        <v>4</v>
      </c>
      <c r="L84" s="11" t="n">
        <v>3</v>
      </c>
      <c r="M84" s="11" t="n">
        <v>3</v>
      </c>
      <c r="N84" s="11" t="n">
        <v>4</v>
      </c>
      <c r="O84" s="11" t="n">
        <v>3</v>
      </c>
      <c r="P84" s="11" t="n">
        <v>3</v>
      </c>
      <c r="Q84" s="11" t="n">
        <v>2</v>
      </c>
      <c r="R84" s="14" t="n">
        <v>1</v>
      </c>
      <c r="S84" s="8" t="n">
        <f aca="false">IF(E84="Ngoài HN",1,IF(E84="","",6-VALUE(E84)))</f>
        <v>3</v>
      </c>
      <c r="T84" s="11" t="n">
        <v>4</v>
      </c>
      <c r="U84" s="11" t="n">
        <v>3</v>
      </c>
      <c r="V84" s="21" t="n">
        <f aca="false">ROUND(SUMPRODUCT(K84:U84,$K$3:$U$3)/(5*SUM($K$3:$U$3))*100,1)</f>
        <v>59</v>
      </c>
      <c r="W84" s="22" t="str">
        <f aca="false">IF(E84="Ngoài HN","Đợt 4 – Ngoài HN",IF(V84&gt;='Trọng số'!$C$19,"Đợt 1",IF(V84&gt;='Trọng số'!$C$20,"Đợt 2","Đợt 3")))</f>
        <v>Đợt 3</v>
      </c>
      <c r="X84" s="23" t="str">
        <f aca="false">IF(K84&gt;=4,"LMS + số hóa học liệu",IF(K84=3,"Nâng cấp/thay LMS + số hóa học liệu","Số hóa học liệu, chạy trên LMS sẵn có"))&amp;IF(L84&gt;=4," + mô phỏng","")&amp;IF(M84&gt;=4," + ngoại ngữ","")</f>
        <v>LMS + số hóa học liệu</v>
      </c>
      <c r="Y84" s="9" t="s">
        <v>260</v>
      </c>
      <c r="Z84" s="24" t="s">
        <v>662</v>
      </c>
      <c r="AA84" s="9"/>
      <c r="AB84" s="9" t="s">
        <v>663</v>
      </c>
      <c r="AC84" s="9" t="s">
        <v>664</v>
      </c>
    </row>
    <row r="85" customFormat="false" ht="75" hidden="false" customHeight="true" outlineLevel="0" collapsed="false">
      <c r="A85" s="8" t="n">
        <f aca="false">RANK(V85,$V$5:$V$101)</f>
        <v>80</v>
      </c>
      <c r="B85" s="7" t="s">
        <v>665</v>
      </c>
      <c r="C85" s="9" t="s">
        <v>237</v>
      </c>
      <c r="D85" s="9" t="s">
        <v>475</v>
      </c>
      <c r="E85" s="11" t="s">
        <v>380</v>
      </c>
      <c r="F85" s="9" t="n">
        <v>15.5</v>
      </c>
      <c r="G85" s="9" t="s">
        <v>666</v>
      </c>
      <c r="H85" s="9" t="s">
        <v>667</v>
      </c>
      <c r="I85" s="9" t="s">
        <v>668</v>
      </c>
      <c r="J85" s="9" t="s">
        <v>311</v>
      </c>
      <c r="K85" s="11" t="n">
        <v>3</v>
      </c>
      <c r="L85" s="11" t="n">
        <v>4</v>
      </c>
      <c r="M85" s="11" t="n">
        <v>3</v>
      </c>
      <c r="N85" s="11" t="n">
        <v>4</v>
      </c>
      <c r="O85" s="11" t="n">
        <v>4</v>
      </c>
      <c r="P85" s="11" t="n">
        <v>3</v>
      </c>
      <c r="Q85" s="11" t="n">
        <v>2</v>
      </c>
      <c r="R85" s="14" t="n">
        <v>1</v>
      </c>
      <c r="S85" s="8" t="n">
        <f aca="false">IF(E85="Ngoài HN",1,IF(E85="","",6-VALUE(E85)))</f>
        <v>2</v>
      </c>
      <c r="T85" s="11" t="n">
        <v>4</v>
      </c>
      <c r="U85" s="11" t="n">
        <v>3</v>
      </c>
      <c r="V85" s="21" t="n">
        <f aca="false">ROUND(SUMPRODUCT(K85:U85,$K$3:$U$3)/(5*SUM($K$3:$U$3))*100,1)</f>
        <v>59</v>
      </c>
      <c r="W85" s="22" t="str">
        <f aca="false">IF(E85="Ngoài HN","Đợt 4 – Ngoài HN",IF(V85&gt;='Trọng số'!$C$19,"Đợt 1",IF(V85&gt;='Trọng số'!$C$20,"Đợt 2","Đợt 3")))</f>
        <v>Đợt 3</v>
      </c>
      <c r="X85" s="23" t="str">
        <f aca="false">IF(K85&gt;=4,"LMS + số hóa học liệu",IF(K85=3,"Nâng cấp/thay LMS + số hóa học liệu","Số hóa học liệu, chạy trên LMS sẵn có"))&amp;IF(L85&gt;=4," + mô phỏng","")&amp;IF(M85&gt;=4," + ngoại ngữ","")</f>
        <v>Nâng cấp/thay LMS + số hóa học liệu + mô phỏng</v>
      </c>
      <c r="Y85" s="9" t="s">
        <v>260</v>
      </c>
      <c r="Z85" s="24" t="s">
        <v>669</v>
      </c>
      <c r="AA85" s="9"/>
      <c r="AB85" s="9" t="s">
        <v>670</v>
      </c>
      <c r="AC85" s="9" t="s">
        <v>671</v>
      </c>
    </row>
    <row r="86" customFormat="false" ht="75" hidden="false" customHeight="true" outlineLevel="0" collapsed="false">
      <c r="A86" s="8" t="n">
        <f aca="false">RANK(V86,$V$5:$V$101)</f>
        <v>80</v>
      </c>
      <c r="B86" s="7" t="s">
        <v>672</v>
      </c>
      <c r="C86" s="9" t="s">
        <v>226</v>
      </c>
      <c r="D86" s="9" t="s">
        <v>485</v>
      </c>
      <c r="E86" s="11" t="s">
        <v>282</v>
      </c>
      <c r="F86" s="9"/>
      <c r="G86" s="9" t="s">
        <v>673</v>
      </c>
      <c r="H86" s="9" t="s">
        <v>230</v>
      </c>
      <c r="I86" s="9" t="s">
        <v>231</v>
      </c>
      <c r="J86" s="9" t="s">
        <v>278</v>
      </c>
      <c r="K86" s="11" t="n">
        <v>3</v>
      </c>
      <c r="L86" s="11" t="n">
        <v>1</v>
      </c>
      <c r="M86" s="11" t="n">
        <v>4</v>
      </c>
      <c r="N86" s="11" t="n">
        <v>4</v>
      </c>
      <c r="O86" s="11" t="n">
        <v>4</v>
      </c>
      <c r="P86" s="11" t="n">
        <v>3</v>
      </c>
      <c r="Q86" s="11" t="n">
        <v>3</v>
      </c>
      <c r="R86" s="14" t="n">
        <v>1</v>
      </c>
      <c r="S86" s="8" t="n">
        <f aca="false">IF(E86="Ngoài HN",1,IF(E86="","",6-VALUE(E86)))</f>
        <v>4</v>
      </c>
      <c r="T86" s="11" t="n">
        <v>4</v>
      </c>
      <c r="U86" s="11" t="n">
        <v>3</v>
      </c>
      <c r="V86" s="21" t="n">
        <f aca="false">ROUND(SUMPRODUCT(K86:U86,$K$3:$U$3)/(5*SUM($K$3:$U$3))*100,1)</f>
        <v>59</v>
      </c>
      <c r="W86" s="22" t="str">
        <f aca="false">IF(E86="Ngoài HN","Đợt 4 – Ngoài HN",IF(V86&gt;='Trọng số'!$C$19,"Đợt 1",IF(V86&gt;='Trọng số'!$C$20,"Đợt 2","Đợt 3")))</f>
        <v>Đợt 3</v>
      </c>
      <c r="X86" s="23" t="str">
        <f aca="false">IF(K86&gt;=4,"LMS + số hóa học liệu",IF(K86=3,"Nâng cấp/thay LMS + số hóa học liệu","Số hóa học liệu, chạy trên LMS sẵn có"))&amp;IF(L86&gt;=4," + mô phỏng","")&amp;IF(M86&gt;=4," + ngoại ngữ","")</f>
        <v>Nâng cấp/thay LMS + số hóa học liệu + ngoại ngữ</v>
      </c>
      <c r="Y86" s="9" t="s">
        <v>233</v>
      </c>
      <c r="Z86" s="24" t="s">
        <v>674</v>
      </c>
      <c r="AA86" s="9"/>
      <c r="AB86" s="9"/>
      <c r="AC86" s="9" t="s">
        <v>235</v>
      </c>
    </row>
    <row r="87" customFormat="false" ht="75" hidden="false" customHeight="true" outlineLevel="0" collapsed="false">
      <c r="A87" s="8" t="n">
        <f aca="false">RANK(V87,$V$5:$V$101)</f>
        <v>83</v>
      </c>
      <c r="B87" s="7" t="s">
        <v>675</v>
      </c>
      <c r="C87" s="9" t="s">
        <v>237</v>
      </c>
      <c r="D87" s="9" t="s">
        <v>575</v>
      </c>
      <c r="E87" s="11" t="s">
        <v>282</v>
      </c>
      <c r="F87" s="9" t="n">
        <v>10</v>
      </c>
      <c r="G87" s="9" t="s">
        <v>676</v>
      </c>
      <c r="H87" s="9" t="s">
        <v>677</v>
      </c>
      <c r="I87" s="9" t="s">
        <v>678</v>
      </c>
      <c r="J87" s="9" t="s">
        <v>311</v>
      </c>
      <c r="K87" s="11" t="n">
        <v>1</v>
      </c>
      <c r="L87" s="11" t="n">
        <v>5</v>
      </c>
      <c r="M87" s="11" t="n">
        <v>3</v>
      </c>
      <c r="N87" s="11" t="n">
        <v>2</v>
      </c>
      <c r="O87" s="11" t="n">
        <v>4</v>
      </c>
      <c r="P87" s="11" t="n">
        <v>3</v>
      </c>
      <c r="Q87" s="11" t="n">
        <v>2</v>
      </c>
      <c r="R87" s="14" t="n">
        <v>1</v>
      </c>
      <c r="S87" s="8" t="n">
        <f aca="false">IF(E87="Ngoài HN",1,IF(E87="","",6-VALUE(E87)))</f>
        <v>4</v>
      </c>
      <c r="T87" s="11" t="n">
        <v>5</v>
      </c>
      <c r="U87" s="11" t="n">
        <v>5</v>
      </c>
      <c r="V87" s="21" t="n">
        <f aca="false">ROUND(SUMPRODUCT(K87:U87,$K$3:$U$3)/(5*SUM($K$3:$U$3))*100,1)</f>
        <v>58.8</v>
      </c>
      <c r="W87" s="22" t="str">
        <f aca="false">IF(E87="Ngoài HN","Đợt 4 – Ngoài HN",IF(V87&gt;='Trọng số'!$C$19,"Đợt 1",IF(V87&gt;='Trọng số'!$C$20,"Đợt 2","Đợt 3")))</f>
        <v>Đợt 3</v>
      </c>
      <c r="X87" s="23" t="str">
        <f aca="false">IF(K87&gt;=4,"LMS + số hóa học liệu",IF(K87=3,"Nâng cấp/thay LMS + số hóa học liệu","Số hóa học liệu, chạy trên LMS sẵn có"))&amp;IF(L87&gt;=4," + mô phỏng","")&amp;IF(M87&gt;=4," + ngoại ngữ","")</f>
        <v>Số hóa học liệu, chạy trên LMS sẵn có + mô phỏng</v>
      </c>
      <c r="Y87" s="9" t="s">
        <v>260</v>
      </c>
      <c r="Z87" s="24" t="s">
        <v>679</v>
      </c>
      <c r="AA87" s="9"/>
      <c r="AB87" s="9" t="s">
        <v>680</v>
      </c>
      <c r="AC87" s="9" t="s">
        <v>681</v>
      </c>
    </row>
    <row r="88" customFormat="false" ht="75" hidden="false" customHeight="true" outlineLevel="0" collapsed="false">
      <c r="A88" s="8" t="n">
        <f aca="false">RANK(V88,$V$5:$V$101)</f>
        <v>83</v>
      </c>
      <c r="B88" s="7" t="s">
        <v>682</v>
      </c>
      <c r="C88" s="9" t="s">
        <v>237</v>
      </c>
      <c r="D88" s="9" t="s">
        <v>475</v>
      </c>
      <c r="E88" s="11" t="s">
        <v>380</v>
      </c>
      <c r="F88" s="9" t="n">
        <v>24</v>
      </c>
      <c r="G88" s="9" t="s">
        <v>683</v>
      </c>
      <c r="H88" s="9" t="s">
        <v>684</v>
      </c>
      <c r="I88" s="9" t="s">
        <v>685</v>
      </c>
      <c r="J88" s="9" t="s">
        <v>311</v>
      </c>
      <c r="K88" s="11" t="n">
        <v>3</v>
      </c>
      <c r="L88" s="11" t="n">
        <v>4</v>
      </c>
      <c r="M88" s="11" t="n">
        <v>3</v>
      </c>
      <c r="N88" s="11" t="n">
        <v>4</v>
      </c>
      <c r="O88" s="11" t="n">
        <v>3</v>
      </c>
      <c r="P88" s="11" t="n">
        <v>3</v>
      </c>
      <c r="Q88" s="11" t="n">
        <v>2</v>
      </c>
      <c r="R88" s="14" t="n">
        <v>1</v>
      </c>
      <c r="S88" s="8" t="n">
        <f aca="false">IF(E88="Ngoài HN",1,IF(E88="","",6-VALUE(E88)))</f>
        <v>2</v>
      </c>
      <c r="T88" s="11" t="n">
        <v>5</v>
      </c>
      <c r="U88" s="11" t="n">
        <v>3</v>
      </c>
      <c r="V88" s="21" t="n">
        <f aca="false">ROUND(SUMPRODUCT(K88:U88,$K$3:$U$3)/(5*SUM($K$3:$U$3))*100,1)</f>
        <v>58.8</v>
      </c>
      <c r="W88" s="22" t="str">
        <f aca="false">IF(E88="Ngoài HN","Đợt 4 – Ngoài HN",IF(V88&gt;='Trọng số'!$C$19,"Đợt 1",IF(V88&gt;='Trọng số'!$C$20,"Đợt 2","Đợt 3")))</f>
        <v>Đợt 3</v>
      </c>
      <c r="X88" s="23" t="str">
        <f aca="false">IF(K88&gt;=4,"LMS + số hóa học liệu",IF(K88=3,"Nâng cấp/thay LMS + số hóa học liệu","Số hóa học liệu, chạy trên LMS sẵn có"))&amp;IF(L88&gt;=4," + mô phỏng","")&amp;IF(M88&gt;=4," + ngoại ngữ","")</f>
        <v>Nâng cấp/thay LMS + số hóa học liệu + mô phỏng</v>
      </c>
      <c r="Y88" s="9" t="s">
        <v>260</v>
      </c>
      <c r="Z88" s="24" t="s">
        <v>686</v>
      </c>
      <c r="AA88" s="9"/>
      <c r="AB88" s="9" t="s">
        <v>687</v>
      </c>
      <c r="AC88" s="9" t="s">
        <v>688</v>
      </c>
    </row>
    <row r="89" customFormat="false" ht="75" hidden="false" customHeight="true" outlineLevel="0" collapsed="false">
      <c r="A89" s="8" t="n">
        <f aca="false">RANK(V89,$V$5:$V$101)</f>
        <v>83</v>
      </c>
      <c r="B89" s="7" t="s">
        <v>689</v>
      </c>
      <c r="C89" s="9" t="s">
        <v>237</v>
      </c>
      <c r="D89" s="9" t="s">
        <v>575</v>
      </c>
      <c r="E89" s="11" t="s">
        <v>616</v>
      </c>
      <c r="F89" s="9" t="n">
        <v>30</v>
      </c>
      <c r="G89" s="9" t="s">
        <v>690</v>
      </c>
      <c r="H89" s="9" t="s">
        <v>691</v>
      </c>
      <c r="I89" s="9" t="s">
        <v>692</v>
      </c>
      <c r="J89" s="9" t="s">
        <v>311</v>
      </c>
      <c r="K89" s="11" t="n">
        <v>2</v>
      </c>
      <c r="L89" s="11" t="n">
        <v>5</v>
      </c>
      <c r="M89" s="11" t="n">
        <v>3</v>
      </c>
      <c r="N89" s="11" t="n">
        <v>4</v>
      </c>
      <c r="O89" s="11" t="n">
        <v>4</v>
      </c>
      <c r="P89" s="11" t="n">
        <v>3</v>
      </c>
      <c r="Q89" s="11" t="n">
        <v>2</v>
      </c>
      <c r="R89" s="14" t="n">
        <v>1</v>
      </c>
      <c r="S89" s="8" t="n">
        <f aca="false">IF(E89="Ngoài HN",1,IF(E89="","",6-VALUE(E89)))</f>
        <v>1</v>
      </c>
      <c r="T89" s="11" t="n">
        <v>5</v>
      </c>
      <c r="U89" s="11" t="n">
        <v>3</v>
      </c>
      <c r="V89" s="21" t="n">
        <f aca="false">ROUND(SUMPRODUCT(K89:U89,$K$3:$U$3)/(5*SUM($K$3:$U$3))*100,1)</f>
        <v>58.8</v>
      </c>
      <c r="W89" s="22" t="str">
        <f aca="false">IF(E89="Ngoài HN","Đợt 4 – Ngoài HN",IF(V89&gt;='Trọng số'!$C$19,"Đợt 1",IF(V89&gt;='Trọng số'!$C$20,"Đợt 2","Đợt 3")))</f>
        <v>Đợt 4 – Ngoài HN</v>
      </c>
      <c r="X89" s="23" t="str">
        <f aca="false">IF(K89&gt;=4,"LMS + số hóa học liệu",IF(K89=3,"Nâng cấp/thay LMS + số hóa học liệu","Số hóa học liệu, chạy trên LMS sẵn có"))&amp;IF(L89&gt;=4," + mô phỏng","")&amp;IF(M89&gt;=4," + ngoại ngữ","")</f>
        <v>Số hóa học liệu, chạy trên LMS sẵn có + mô phỏng</v>
      </c>
      <c r="Y89" s="9" t="s">
        <v>693</v>
      </c>
      <c r="Z89" s="24" t="s">
        <v>694</v>
      </c>
      <c r="AA89" s="9"/>
      <c r="AB89" s="9" t="s">
        <v>695</v>
      </c>
      <c r="AC89" s="9" t="s">
        <v>696</v>
      </c>
    </row>
    <row r="90" customFormat="false" ht="75" hidden="false" customHeight="true" outlineLevel="0" collapsed="false">
      <c r="A90" s="8" t="n">
        <f aca="false">RANK(V90,$V$5:$V$101)</f>
        <v>86</v>
      </c>
      <c r="B90" s="7" t="s">
        <v>697</v>
      </c>
      <c r="C90" s="9" t="s">
        <v>237</v>
      </c>
      <c r="D90" s="9" t="s">
        <v>335</v>
      </c>
      <c r="E90" s="11" t="s">
        <v>380</v>
      </c>
      <c r="F90" s="9" t="n">
        <v>18.5</v>
      </c>
      <c r="G90" s="9" t="s">
        <v>698</v>
      </c>
      <c r="H90" s="9" t="s">
        <v>699</v>
      </c>
      <c r="I90" s="9" t="s">
        <v>700</v>
      </c>
      <c r="J90" s="9" t="s">
        <v>311</v>
      </c>
      <c r="K90" s="11" t="n">
        <v>3</v>
      </c>
      <c r="L90" s="11" t="n">
        <v>5</v>
      </c>
      <c r="M90" s="11" t="n">
        <v>3</v>
      </c>
      <c r="N90" s="11" t="n">
        <v>4</v>
      </c>
      <c r="O90" s="11" t="n">
        <v>3</v>
      </c>
      <c r="P90" s="11" t="n">
        <v>3</v>
      </c>
      <c r="Q90" s="11" t="n">
        <v>2</v>
      </c>
      <c r="R90" s="14" t="n">
        <v>1</v>
      </c>
      <c r="S90" s="8" t="n">
        <f aca="false">IF(E90="Ngoài HN",1,IF(E90="","",6-VALUE(E90)))</f>
        <v>2</v>
      </c>
      <c r="T90" s="11" t="n">
        <v>3</v>
      </c>
      <c r="U90" s="11" t="n">
        <v>3</v>
      </c>
      <c r="V90" s="21" t="n">
        <f aca="false">ROUND(SUMPRODUCT(K90:U90,$K$3:$U$3)/(5*SUM($K$3:$U$3))*100,1)</f>
        <v>58</v>
      </c>
      <c r="W90" s="22" t="str">
        <f aca="false">IF(E90="Ngoài HN","Đợt 4 – Ngoài HN",IF(V90&gt;='Trọng số'!$C$19,"Đợt 1",IF(V90&gt;='Trọng số'!$C$20,"Đợt 2","Đợt 3")))</f>
        <v>Đợt 3</v>
      </c>
      <c r="X90" s="23" t="str">
        <f aca="false">IF(K90&gt;=4,"LMS + số hóa học liệu",IF(K90=3,"Nâng cấp/thay LMS + số hóa học liệu","Số hóa học liệu, chạy trên LMS sẵn có"))&amp;IF(L90&gt;=4," + mô phỏng","")&amp;IF(M90&gt;=4," + ngoại ngữ","")</f>
        <v>Nâng cấp/thay LMS + số hóa học liệu + mô phỏng</v>
      </c>
      <c r="Y90" s="9" t="s">
        <v>260</v>
      </c>
      <c r="Z90" s="24" t="s">
        <v>701</v>
      </c>
      <c r="AA90" s="9"/>
      <c r="AB90" s="9" t="s">
        <v>702</v>
      </c>
      <c r="AC90" s="9" t="s">
        <v>703</v>
      </c>
    </row>
    <row r="91" customFormat="false" ht="75" hidden="false" customHeight="true" outlineLevel="0" collapsed="false">
      <c r="A91" s="8" t="n">
        <f aca="false">RANK(V91,$V$5:$V$101)</f>
        <v>87</v>
      </c>
      <c r="B91" s="7" t="s">
        <v>704</v>
      </c>
      <c r="C91" s="9" t="s">
        <v>237</v>
      </c>
      <c r="D91" s="9" t="s">
        <v>705</v>
      </c>
      <c r="E91" s="11" t="s">
        <v>282</v>
      </c>
      <c r="F91" s="9" t="n">
        <v>8</v>
      </c>
      <c r="G91" s="9" t="s">
        <v>706</v>
      </c>
      <c r="H91" s="9" t="s">
        <v>707</v>
      </c>
      <c r="I91" s="9" t="s">
        <v>708</v>
      </c>
      <c r="J91" s="9" t="s">
        <v>311</v>
      </c>
      <c r="K91" s="11" t="n">
        <v>3</v>
      </c>
      <c r="L91" s="11" t="n">
        <v>3</v>
      </c>
      <c r="M91" s="11" t="n">
        <v>3</v>
      </c>
      <c r="N91" s="11" t="n">
        <v>4</v>
      </c>
      <c r="O91" s="11" t="n">
        <v>3</v>
      </c>
      <c r="P91" s="11" t="n">
        <v>3</v>
      </c>
      <c r="Q91" s="11" t="n">
        <v>2</v>
      </c>
      <c r="R91" s="14" t="n">
        <v>1</v>
      </c>
      <c r="S91" s="8" t="n">
        <f aca="false">IF(E91="Ngoài HN",1,IF(E91="","",6-VALUE(E91)))</f>
        <v>4</v>
      </c>
      <c r="T91" s="11" t="n">
        <v>4</v>
      </c>
      <c r="U91" s="11" t="n">
        <v>3</v>
      </c>
      <c r="V91" s="21" t="n">
        <f aca="false">ROUND(SUMPRODUCT(K91:U91,$K$3:$U$3)/(5*SUM($K$3:$U$3))*100,1)</f>
        <v>57.8</v>
      </c>
      <c r="W91" s="22" t="str">
        <f aca="false">IF(E91="Ngoài HN","Đợt 4 – Ngoài HN",IF(V91&gt;='Trọng số'!$C$19,"Đợt 1",IF(V91&gt;='Trọng số'!$C$20,"Đợt 2","Đợt 3")))</f>
        <v>Đợt 3</v>
      </c>
      <c r="X91" s="23" t="str">
        <f aca="false">IF(K91&gt;=4,"LMS + số hóa học liệu",IF(K91=3,"Nâng cấp/thay LMS + số hóa học liệu","Số hóa học liệu, chạy trên LMS sẵn có"))&amp;IF(L91&gt;=4," + mô phỏng","")&amp;IF(M91&gt;=4," + ngoại ngữ","")</f>
        <v>Nâng cấp/thay LMS + số hóa học liệu</v>
      </c>
      <c r="Y91" s="9" t="s">
        <v>260</v>
      </c>
      <c r="Z91" s="24" t="s">
        <v>709</v>
      </c>
      <c r="AA91" s="9"/>
      <c r="AB91" s="9" t="s">
        <v>710</v>
      </c>
      <c r="AC91" s="9" t="s">
        <v>711</v>
      </c>
    </row>
    <row r="92" customFormat="false" ht="75" hidden="false" customHeight="true" outlineLevel="0" collapsed="false">
      <c r="A92" s="8" t="n">
        <f aca="false">RANK(V92,$V$5:$V$101)</f>
        <v>87</v>
      </c>
      <c r="B92" s="7" t="s">
        <v>712</v>
      </c>
      <c r="C92" s="9" t="s">
        <v>237</v>
      </c>
      <c r="D92" s="9" t="s">
        <v>713</v>
      </c>
      <c r="E92" s="11" t="s">
        <v>380</v>
      </c>
      <c r="F92" s="9" t="n">
        <v>23</v>
      </c>
      <c r="G92" s="9" t="s">
        <v>714</v>
      </c>
      <c r="H92" s="9" t="s">
        <v>715</v>
      </c>
      <c r="I92" s="9" t="s">
        <v>716</v>
      </c>
      <c r="J92" s="9" t="s">
        <v>311</v>
      </c>
      <c r="K92" s="11" t="n">
        <v>4</v>
      </c>
      <c r="L92" s="11" t="n">
        <v>3</v>
      </c>
      <c r="M92" s="11" t="n">
        <v>3</v>
      </c>
      <c r="N92" s="11" t="n">
        <v>4</v>
      </c>
      <c r="O92" s="11" t="n">
        <v>3</v>
      </c>
      <c r="P92" s="11" t="n">
        <v>3</v>
      </c>
      <c r="Q92" s="11" t="n">
        <v>2</v>
      </c>
      <c r="R92" s="14" t="n">
        <v>1</v>
      </c>
      <c r="S92" s="8" t="n">
        <f aca="false">IF(E92="Ngoài HN",1,IF(E92="","",6-VALUE(E92)))</f>
        <v>2</v>
      </c>
      <c r="T92" s="11" t="n">
        <v>4</v>
      </c>
      <c r="U92" s="11" t="n">
        <v>3</v>
      </c>
      <c r="V92" s="21" t="n">
        <f aca="false">ROUND(SUMPRODUCT(K92:U92,$K$3:$U$3)/(5*SUM($K$3:$U$3))*100,1)</f>
        <v>57.8</v>
      </c>
      <c r="W92" s="22" t="str">
        <f aca="false">IF(E92="Ngoài HN","Đợt 4 – Ngoài HN",IF(V92&gt;='Trọng số'!$C$19,"Đợt 1",IF(V92&gt;='Trọng số'!$C$20,"Đợt 2","Đợt 3")))</f>
        <v>Đợt 3</v>
      </c>
      <c r="X92" s="23" t="str">
        <f aca="false">IF(K92&gt;=4,"LMS + số hóa học liệu",IF(K92=3,"Nâng cấp/thay LMS + số hóa học liệu","Số hóa học liệu, chạy trên LMS sẵn có"))&amp;IF(L92&gt;=4," + mô phỏng","")&amp;IF(M92&gt;=4," + ngoại ngữ","")</f>
        <v>LMS + số hóa học liệu</v>
      </c>
      <c r="Y92" s="9" t="s">
        <v>260</v>
      </c>
      <c r="Z92" s="24" t="s">
        <v>717</v>
      </c>
      <c r="AA92" s="9"/>
      <c r="AB92" s="9" t="s">
        <v>718</v>
      </c>
      <c r="AC92" s="9" t="s">
        <v>719</v>
      </c>
    </row>
    <row r="93" customFormat="false" ht="75" hidden="false" customHeight="true" outlineLevel="0" collapsed="false">
      <c r="A93" s="8" t="n">
        <f aca="false">RANK(V93,$V$5:$V$101)</f>
        <v>89</v>
      </c>
      <c r="B93" s="7" t="s">
        <v>720</v>
      </c>
      <c r="C93" s="9" t="s">
        <v>237</v>
      </c>
      <c r="D93" s="9" t="s">
        <v>721</v>
      </c>
      <c r="E93" s="11" t="s">
        <v>282</v>
      </c>
      <c r="F93" s="9" t="n">
        <v>8.5</v>
      </c>
      <c r="G93" s="9" t="s">
        <v>722</v>
      </c>
      <c r="H93" s="9" t="s">
        <v>723</v>
      </c>
      <c r="I93" s="9" t="s">
        <v>724</v>
      </c>
      <c r="J93" s="9" t="s">
        <v>311</v>
      </c>
      <c r="K93" s="11" t="n">
        <v>1</v>
      </c>
      <c r="L93" s="11" t="n">
        <v>5</v>
      </c>
      <c r="M93" s="11" t="n">
        <v>3</v>
      </c>
      <c r="N93" s="11" t="n">
        <v>2</v>
      </c>
      <c r="O93" s="11" t="n">
        <v>5</v>
      </c>
      <c r="P93" s="11" t="n">
        <v>3</v>
      </c>
      <c r="Q93" s="11" t="n">
        <v>2</v>
      </c>
      <c r="R93" s="14" t="n">
        <v>1</v>
      </c>
      <c r="S93" s="8" t="n">
        <f aca="false">IF(E93="Ngoài HN",1,IF(E93="","",6-VALUE(E93)))</f>
        <v>4</v>
      </c>
      <c r="T93" s="11" t="n">
        <v>5</v>
      </c>
      <c r="U93" s="11" t="n">
        <v>3</v>
      </c>
      <c r="V93" s="21" t="n">
        <f aca="false">ROUND(SUMPRODUCT(K93:U93,$K$3:$U$3)/(5*SUM($K$3:$U$3))*100,1)</f>
        <v>57.6</v>
      </c>
      <c r="W93" s="22" t="str">
        <f aca="false">IF(E93="Ngoài HN","Đợt 4 – Ngoài HN",IF(V93&gt;='Trọng số'!$C$19,"Đợt 1",IF(V93&gt;='Trọng số'!$C$20,"Đợt 2","Đợt 3")))</f>
        <v>Đợt 3</v>
      </c>
      <c r="X93" s="23" t="str">
        <f aca="false">IF(K93&gt;=4,"LMS + số hóa học liệu",IF(K93=3,"Nâng cấp/thay LMS + số hóa học liệu","Số hóa học liệu, chạy trên LMS sẵn có"))&amp;IF(L93&gt;=4," + mô phỏng","")&amp;IF(M93&gt;=4," + ngoại ngữ","")</f>
        <v>Số hóa học liệu, chạy trên LMS sẵn có + mô phỏng</v>
      </c>
      <c r="Y93" s="9" t="s">
        <v>260</v>
      </c>
      <c r="Z93" s="24" t="s">
        <v>725</v>
      </c>
      <c r="AA93" s="9" t="s">
        <v>726</v>
      </c>
      <c r="AB93" s="9" t="s">
        <v>727</v>
      </c>
      <c r="AC93" s="9" t="s">
        <v>728</v>
      </c>
    </row>
    <row r="94" customFormat="false" ht="75" hidden="false" customHeight="true" outlineLevel="0" collapsed="false">
      <c r="A94" s="8" t="n">
        <f aca="false">RANK(V94,$V$5:$V$101)</f>
        <v>90</v>
      </c>
      <c r="B94" s="7" t="s">
        <v>729</v>
      </c>
      <c r="C94" s="9" t="s">
        <v>237</v>
      </c>
      <c r="D94" s="9" t="s">
        <v>227</v>
      </c>
      <c r="E94" s="11" t="s">
        <v>616</v>
      </c>
      <c r="F94" s="9" t="n">
        <v>5</v>
      </c>
      <c r="G94" s="9" t="s">
        <v>730</v>
      </c>
      <c r="H94" s="9" t="s">
        <v>731</v>
      </c>
      <c r="I94" s="9" t="s">
        <v>732</v>
      </c>
      <c r="J94" s="9" t="s">
        <v>311</v>
      </c>
      <c r="K94" s="11" t="n">
        <v>2</v>
      </c>
      <c r="L94" s="11" t="n">
        <v>3</v>
      </c>
      <c r="M94" s="11" t="n">
        <v>3</v>
      </c>
      <c r="N94" s="11" t="n">
        <v>4</v>
      </c>
      <c r="O94" s="11" t="n">
        <v>3</v>
      </c>
      <c r="P94" s="11" t="n">
        <v>5</v>
      </c>
      <c r="Q94" s="11" t="n">
        <v>2</v>
      </c>
      <c r="R94" s="14" t="n">
        <v>1</v>
      </c>
      <c r="S94" s="8" t="n">
        <f aca="false">IF(E94="Ngoài HN",1,IF(E94="","",6-VALUE(E94)))</f>
        <v>1</v>
      </c>
      <c r="T94" s="11" t="n">
        <v>5</v>
      </c>
      <c r="U94" s="11" t="n">
        <v>2</v>
      </c>
      <c r="V94" s="21" t="n">
        <f aca="false">ROUND(SUMPRODUCT(K94:U94,$K$3:$U$3)/(5*SUM($K$3:$U$3))*100,1)</f>
        <v>55.8</v>
      </c>
      <c r="W94" s="22" t="str">
        <f aca="false">IF(E94="Ngoài HN","Đợt 4 – Ngoài HN",IF(V94&gt;='Trọng số'!$C$19,"Đợt 1",IF(V94&gt;='Trọng số'!$C$20,"Đợt 2","Đợt 3")))</f>
        <v>Đợt 4 – Ngoài HN</v>
      </c>
      <c r="X94" s="23" t="str">
        <f aca="false">IF(K94&gt;=4,"LMS + số hóa học liệu",IF(K94=3,"Nâng cấp/thay LMS + số hóa học liệu","Số hóa học liệu, chạy trên LMS sẵn có"))&amp;IF(L94&gt;=4," + mô phỏng","")&amp;IF(M94&gt;=4," + ngoại ngữ","")</f>
        <v>Số hóa học liệu, chạy trên LMS sẵn có</v>
      </c>
      <c r="Y94" s="9" t="s">
        <v>733</v>
      </c>
      <c r="Z94" s="24" t="s">
        <v>734</v>
      </c>
      <c r="AA94" s="9"/>
      <c r="AB94" s="9" t="s">
        <v>735</v>
      </c>
      <c r="AC94" s="9" t="s">
        <v>736</v>
      </c>
    </row>
    <row r="95" customFormat="false" ht="75" hidden="false" customHeight="true" outlineLevel="0" collapsed="false">
      <c r="A95" s="8" t="n">
        <f aca="false">RANK(V95,$V$5:$V$101)</f>
        <v>91</v>
      </c>
      <c r="B95" s="7" t="s">
        <v>737</v>
      </c>
      <c r="C95" s="9" t="s">
        <v>226</v>
      </c>
      <c r="D95" s="9" t="s">
        <v>721</v>
      </c>
      <c r="E95" s="11" t="s">
        <v>380</v>
      </c>
      <c r="F95" s="9"/>
      <c r="G95" s="9" t="s">
        <v>554</v>
      </c>
      <c r="H95" s="9" t="s">
        <v>738</v>
      </c>
      <c r="I95" s="9" t="s">
        <v>231</v>
      </c>
      <c r="J95" s="9" t="s">
        <v>278</v>
      </c>
      <c r="K95" s="11" t="n">
        <v>1</v>
      </c>
      <c r="L95" s="11" t="n">
        <v>3</v>
      </c>
      <c r="M95" s="11" t="n">
        <v>4</v>
      </c>
      <c r="N95" s="11" t="n">
        <v>2</v>
      </c>
      <c r="O95" s="11" t="n">
        <v>5</v>
      </c>
      <c r="P95" s="11" t="n">
        <v>3</v>
      </c>
      <c r="Q95" s="11" t="n">
        <v>3</v>
      </c>
      <c r="R95" s="14" t="n">
        <v>1</v>
      </c>
      <c r="S95" s="8" t="n">
        <f aca="false">IF(E95="Ngoài HN",1,IF(E95="","",6-VALUE(E95)))</f>
        <v>2</v>
      </c>
      <c r="T95" s="11" t="n">
        <v>5</v>
      </c>
      <c r="U95" s="11" t="n">
        <v>3</v>
      </c>
      <c r="V95" s="21" t="n">
        <f aca="false">ROUND(SUMPRODUCT(K95:U95,$K$3:$U$3)/(5*SUM($K$3:$U$3))*100,1)</f>
        <v>54.8</v>
      </c>
      <c r="W95" s="22" t="str">
        <f aca="false">IF(E95="Ngoài HN","Đợt 4 – Ngoài HN",IF(V95&gt;='Trọng số'!$C$19,"Đợt 1",IF(V95&gt;='Trọng số'!$C$20,"Đợt 2","Đợt 3")))</f>
        <v>Đợt 3</v>
      </c>
      <c r="X95" s="23" t="str">
        <f aca="false">IF(K95&gt;=4,"LMS + số hóa học liệu",IF(K95=3,"Nâng cấp/thay LMS + số hóa học liệu","Số hóa học liệu, chạy trên LMS sẵn có"))&amp;IF(L95&gt;=4," + mô phỏng","")&amp;IF(M95&gt;=4," + ngoại ngữ","")</f>
        <v>Số hóa học liệu, chạy trên LMS sẵn có + ngoại ngữ</v>
      </c>
      <c r="Y95" s="9" t="s">
        <v>233</v>
      </c>
      <c r="Z95" s="24" t="s">
        <v>739</v>
      </c>
      <c r="AA95" s="9" t="s">
        <v>740</v>
      </c>
      <c r="AB95" s="9"/>
      <c r="AC95" s="9" t="s">
        <v>235</v>
      </c>
    </row>
    <row r="96" customFormat="false" ht="75" hidden="false" customHeight="true" outlineLevel="0" collapsed="false">
      <c r="A96" s="8" t="n">
        <f aca="false">RANK(V96,$V$5:$V$101)</f>
        <v>92</v>
      </c>
      <c r="B96" s="7" t="s">
        <v>741</v>
      </c>
      <c r="C96" s="9" t="s">
        <v>237</v>
      </c>
      <c r="D96" s="9" t="s">
        <v>742</v>
      </c>
      <c r="E96" s="11" t="s">
        <v>616</v>
      </c>
      <c r="F96" s="9" t="n">
        <v>19</v>
      </c>
      <c r="G96" s="9" t="s">
        <v>743</v>
      </c>
      <c r="H96" s="9" t="s">
        <v>744</v>
      </c>
      <c r="I96" s="9" t="s">
        <v>745</v>
      </c>
      <c r="J96" s="9" t="s">
        <v>311</v>
      </c>
      <c r="K96" s="11" t="n">
        <v>3</v>
      </c>
      <c r="L96" s="11" t="n">
        <v>3</v>
      </c>
      <c r="M96" s="11" t="n">
        <v>3</v>
      </c>
      <c r="N96" s="11" t="n">
        <v>4</v>
      </c>
      <c r="O96" s="11" t="n">
        <v>3</v>
      </c>
      <c r="P96" s="11" t="n">
        <v>3</v>
      </c>
      <c r="Q96" s="11" t="n">
        <v>2</v>
      </c>
      <c r="R96" s="14" t="n">
        <v>1</v>
      </c>
      <c r="S96" s="8" t="n">
        <f aca="false">IF(E96="Ngoài HN",1,IF(E96="","",6-VALUE(E96)))</f>
        <v>1</v>
      </c>
      <c r="T96" s="11" t="n">
        <v>4</v>
      </c>
      <c r="U96" s="11" t="n">
        <v>3</v>
      </c>
      <c r="V96" s="21" t="n">
        <f aca="false">ROUND(SUMPRODUCT(K96:U96,$K$3:$U$3)/(5*SUM($K$3:$U$3))*100,1)</f>
        <v>54.2</v>
      </c>
      <c r="W96" s="22" t="str">
        <f aca="false">IF(E96="Ngoài HN","Đợt 4 – Ngoài HN",IF(V96&gt;='Trọng số'!$C$19,"Đợt 1",IF(V96&gt;='Trọng số'!$C$20,"Đợt 2","Đợt 3")))</f>
        <v>Đợt 4 – Ngoài HN</v>
      </c>
      <c r="X96" s="23" t="str">
        <f aca="false">IF(K96&gt;=4,"LMS + số hóa học liệu",IF(K96=3,"Nâng cấp/thay LMS + số hóa học liệu","Số hóa học liệu, chạy trên LMS sẵn có"))&amp;IF(L96&gt;=4," + mô phỏng","")&amp;IF(M96&gt;=4," + ngoại ngữ","")</f>
        <v>Nâng cấp/thay LMS + số hóa học liệu</v>
      </c>
      <c r="Y96" s="9" t="s">
        <v>746</v>
      </c>
      <c r="Z96" s="24" t="s">
        <v>747</v>
      </c>
      <c r="AA96" s="9"/>
      <c r="AB96" s="9" t="s">
        <v>748</v>
      </c>
      <c r="AC96" s="9" t="s">
        <v>749</v>
      </c>
    </row>
    <row r="97" customFormat="false" ht="75" hidden="false" customHeight="true" outlineLevel="0" collapsed="false">
      <c r="A97" s="8" t="n">
        <f aca="false">RANK(V97,$V$5:$V$101)</f>
        <v>93</v>
      </c>
      <c r="B97" s="7" t="s">
        <v>750</v>
      </c>
      <c r="C97" s="9" t="s">
        <v>237</v>
      </c>
      <c r="D97" s="9" t="s">
        <v>238</v>
      </c>
      <c r="E97" s="11" t="s">
        <v>249</v>
      </c>
      <c r="F97" s="9" t="n">
        <v>13</v>
      </c>
      <c r="G97" s="9" t="s">
        <v>751</v>
      </c>
      <c r="H97" s="9" t="s">
        <v>752</v>
      </c>
      <c r="I97" s="9" t="s">
        <v>753</v>
      </c>
      <c r="J97" s="9" t="s">
        <v>754</v>
      </c>
      <c r="K97" s="11" t="n">
        <v>5</v>
      </c>
      <c r="L97" s="11" t="n">
        <v>1</v>
      </c>
      <c r="M97" s="11" t="n">
        <v>2</v>
      </c>
      <c r="N97" s="11" t="n">
        <v>4</v>
      </c>
      <c r="O97" s="11" t="n">
        <v>2</v>
      </c>
      <c r="P97" s="11" t="n">
        <v>3</v>
      </c>
      <c r="Q97" s="11" t="n">
        <v>3</v>
      </c>
      <c r="R97" s="14" t="n">
        <v>1</v>
      </c>
      <c r="S97" s="8" t="n">
        <f aca="false">IF(E97="Ngoài HN",1,IF(E97="","",6-VALUE(E97)))</f>
        <v>3</v>
      </c>
      <c r="T97" s="11" t="n">
        <v>2</v>
      </c>
      <c r="U97" s="11" t="n">
        <v>3</v>
      </c>
      <c r="V97" s="21" t="n">
        <f aca="false">ROUND(SUMPRODUCT(K97:U97,$K$3:$U$3)/(5*SUM($K$3:$U$3))*100,1)</f>
        <v>53.4</v>
      </c>
      <c r="W97" s="22" t="str">
        <f aca="false">IF(E97="Ngoài HN","Đợt 4 – Ngoài HN",IF(V97&gt;='Trọng số'!$C$19,"Đợt 1",IF(V97&gt;='Trọng số'!$C$20,"Đợt 2","Đợt 3")))</f>
        <v>Đợt 3</v>
      </c>
      <c r="X97" s="23" t="str">
        <f aca="false">IF(K97&gt;=4,"LMS + số hóa học liệu",IF(K97=3,"Nâng cấp/thay LMS + số hóa học liệu","Số hóa học liệu, chạy trên LMS sẵn có"))&amp;IF(L97&gt;=4," + mô phỏng","")&amp;IF(M97&gt;=4," + ngoại ngữ","")</f>
        <v>LMS + số hóa học liệu</v>
      </c>
      <c r="Y97" s="9" t="s">
        <v>755</v>
      </c>
      <c r="Z97" s="24" t="s">
        <v>756</v>
      </c>
      <c r="AA97" s="9" t="s">
        <v>757</v>
      </c>
      <c r="AB97" s="9" t="s">
        <v>758</v>
      </c>
      <c r="AC97" s="9" t="s">
        <v>759</v>
      </c>
    </row>
    <row r="98" customFormat="false" ht="75" hidden="false" customHeight="true" outlineLevel="0" collapsed="false">
      <c r="A98" s="8" t="n">
        <f aca="false">RANK(V98,$V$5:$V$101)</f>
        <v>94</v>
      </c>
      <c r="B98" s="7" t="s">
        <v>760</v>
      </c>
      <c r="C98" s="9" t="s">
        <v>237</v>
      </c>
      <c r="D98" s="9" t="s">
        <v>534</v>
      </c>
      <c r="E98" s="11" t="s">
        <v>282</v>
      </c>
      <c r="F98" s="9" t="n">
        <v>9.5</v>
      </c>
      <c r="G98" s="9" t="s">
        <v>761</v>
      </c>
      <c r="H98" s="9" t="s">
        <v>762</v>
      </c>
      <c r="I98" s="9" t="s">
        <v>763</v>
      </c>
      <c r="J98" s="9" t="s">
        <v>311</v>
      </c>
      <c r="K98" s="11" t="n">
        <v>4</v>
      </c>
      <c r="L98" s="11" t="n">
        <v>1</v>
      </c>
      <c r="M98" s="11" t="n">
        <v>3</v>
      </c>
      <c r="N98" s="11" t="n">
        <v>4</v>
      </c>
      <c r="O98" s="11" t="n">
        <v>2</v>
      </c>
      <c r="P98" s="11" t="n">
        <v>3</v>
      </c>
      <c r="Q98" s="11" t="n">
        <v>2</v>
      </c>
      <c r="R98" s="14" t="n">
        <v>1</v>
      </c>
      <c r="S98" s="8" t="n">
        <f aca="false">IF(E98="Ngoài HN",1,IF(E98="","",6-VALUE(E98)))</f>
        <v>4</v>
      </c>
      <c r="T98" s="11" t="n">
        <v>3</v>
      </c>
      <c r="U98" s="11" t="n">
        <v>3</v>
      </c>
      <c r="V98" s="21" t="n">
        <f aca="false">ROUND(SUMPRODUCT(K98:U98,$K$3:$U$3)/(5*SUM($K$3:$U$3))*100,1)</f>
        <v>53.2</v>
      </c>
      <c r="W98" s="22" t="str">
        <f aca="false">IF(E98="Ngoài HN","Đợt 4 – Ngoài HN",IF(V98&gt;='Trọng số'!$C$19,"Đợt 1",IF(V98&gt;='Trọng số'!$C$20,"Đợt 2","Đợt 3")))</f>
        <v>Đợt 3</v>
      </c>
      <c r="X98" s="23" t="str">
        <f aca="false">IF(K98&gt;=4,"LMS + số hóa học liệu",IF(K98=3,"Nâng cấp/thay LMS + số hóa học liệu","Số hóa học liệu, chạy trên LMS sẵn có"))&amp;IF(L98&gt;=4," + mô phỏng","")&amp;IF(M98&gt;=4," + ngoại ngữ","")</f>
        <v>LMS + số hóa học liệu</v>
      </c>
      <c r="Y98" s="9" t="s">
        <v>764</v>
      </c>
      <c r="Z98" s="24" t="s">
        <v>765</v>
      </c>
      <c r="AA98" s="9"/>
      <c r="AB98" s="9" t="s">
        <v>766</v>
      </c>
      <c r="AC98" s="9" t="s">
        <v>767</v>
      </c>
    </row>
    <row r="99" customFormat="false" ht="75" hidden="false" customHeight="true" outlineLevel="0" collapsed="false">
      <c r="A99" s="8" t="n">
        <f aca="false">RANK(V99,$V$5:$V$101)</f>
        <v>95</v>
      </c>
      <c r="B99" s="7" t="s">
        <v>768</v>
      </c>
      <c r="C99" s="9" t="s">
        <v>237</v>
      </c>
      <c r="D99" s="9" t="s">
        <v>534</v>
      </c>
      <c r="E99" s="11" t="s">
        <v>282</v>
      </c>
      <c r="F99" s="9" t="n">
        <v>9</v>
      </c>
      <c r="G99" s="9" t="s">
        <v>769</v>
      </c>
      <c r="H99" s="9" t="s">
        <v>770</v>
      </c>
      <c r="I99" s="9" t="s">
        <v>771</v>
      </c>
      <c r="J99" s="9" t="s">
        <v>311</v>
      </c>
      <c r="K99" s="11" t="n">
        <v>5</v>
      </c>
      <c r="L99" s="11" t="n">
        <v>1</v>
      </c>
      <c r="M99" s="11" t="n">
        <v>2</v>
      </c>
      <c r="N99" s="11" t="n">
        <v>4</v>
      </c>
      <c r="O99" s="11" t="n">
        <v>2</v>
      </c>
      <c r="P99" s="11" t="n">
        <v>3</v>
      </c>
      <c r="Q99" s="11" t="n">
        <v>2</v>
      </c>
      <c r="R99" s="14" t="n">
        <v>1</v>
      </c>
      <c r="S99" s="8" t="n">
        <f aca="false">IF(E99="Ngoài HN",1,IF(E99="","",6-VALUE(E99)))</f>
        <v>4</v>
      </c>
      <c r="T99" s="11" t="n">
        <v>2</v>
      </c>
      <c r="U99" s="11" t="n">
        <v>3</v>
      </c>
      <c r="V99" s="21" t="n">
        <f aca="false">ROUND(SUMPRODUCT(K99:U99,$K$3:$U$3)/(5*SUM($K$3:$U$3))*100,1)</f>
        <v>52.6</v>
      </c>
      <c r="W99" s="22" t="str">
        <f aca="false">IF(E99="Ngoài HN","Đợt 4 – Ngoài HN",IF(V99&gt;='Trọng số'!$C$19,"Đợt 1",IF(V99&gt;='Trọng số'!$C$20,"Đợt 2","Đợt 3")))</f>
        <v>Đợt 3</v>
      </c>
      <c r="X99" s="23" t="str">
        <f aca="false">IF(K99&gt;=4,"LMS + số hóa học liệu",IF(K99=3,"Nâng cấp/thay LMS + số hóa học liệu","Số hóa học liệu, chạy trên LMS sẵn có"))&amp;IF(L99&gt;=4," + mô phỏng","")&amp;IF(M99&gt;=4," + ngoại ngữ","")</f>
        <v>LMS + số hóa học liệu</v>
      </c>
      <c r="Y99" s="9" t="s">
        <v>772</v>
      </c>
      <c r="Z99" s="24" t="s">
        <v>773</v>
      </c>
      <c r="AA99" s="9"/>
      <c r="AB99" s="9" t="s">
        <v>774</v>
      </c>
      <c r="AC99" s="9" t="s">
        <v>775</v>
      </c>
    </row>
    <row r="100" customFormat="false" ht="75" hidden="false" customHeight="true" outlineLevel="0" collapsed="false">
      <c r="A100" s="8" t="n">
        <f aca="false">RANK(V100,$V$5:$V$101)</f>
        <v>96</v>
      </c>
      <c r="B100" s="7" t="s">
        <v>776</v>
      </c>
      <c r="C100" s="9" t="s">
        <v>226</v>
      </c>
      <c r="D100" s="9" t="s">
        <v>485</v>
      </c>
      <c r="E100" s="11" t="s">
        <v>282</v>
      </c>
      <c r="F100" s="9"/>
      <c r="G100" s="9" t="s">
        <v>777</v>
      </c>
      <c r="H100" s="9" t="s">
        <v>415</v>
      </c>
      <c r="I100" s="9" t="s">
        <v>231</v>
      </c>
      <c r="J100" s="9" t="s">
        <v>778</v>
      </c>
      <c r="K100" s="11" t="n">
        <v>4</v>
      </c>
      <c r="L100" s="11" t="n">
        <v>1</v>
      </c>
      <c r="M100" s="11" t="n">
        <v>3</v>
      </c>
      <c r="N100" s="11" t="n">
        <v>3</v>
      </c>
      <c r="O100" s="11" t="n">
        <v>3</v>
      </c>
      <c r="P100" s="11" t="n">
        <v>3</v>
      </c>
      <c r="Q100" s="11" t="n">
        <v>2</v>
      </c>
      <c r="R100" s="14" t="n">
        <v>1</v>
      </c>
      <c r="S100" s="8" t="n">
        <f aca="false">IF(E100="Ngoài HN",1,IF(E100="","",6-VALUE(E100)))</f>
        <v>4</v>
      </c>
      <c r="T100" s="11" t="n">
        <v>3</v>
      </c>
      <c r="U100" s="11" t="n">
        <v>2</v>
      </c>
      <c r="V100" s="21" t="n">
        <f aca="false">ROUND(SUMPRODUCT(K100:U100,$K$3:$U$3)/(5*SUM($K$3:$U$3))*100,1)</f>
        <v>51.4</v>
      </c>
      <c r="W100" s="22" t="str">
        <f aca="false">IF(E100="Ngoài HN","Đợt 4 – Ngoài HN",IF(V100&gt;='Trọng số'!$C$19,"Đợt 1",IF(V100&gt;='Trọng số'!$C$20,"Đợt 2","Đợt 3")))</f>
        <v>Đợt 3</v>
      </c>
      <c r="X100" s="23" t="str">
        <f aca="false">IF(K100&gt;=4,"LMS + số hóa học liệu",IF(K100=3,"Nâng cấp/thay LMS + số hóa học liệu","Số hóa học liệu, chạy trên LMS sẵn có"))&amp;IF(L100&gt;=4," + mô phỏng","")&amp;IF(M100&gt;=4," + ngoại ngữ","")</f>
        <v>LMS + số hóa học liệu</v>
      </c>
      <c r="Y100" s="9" t="s">
        <v>233</v>
      </c>
      <c r="Z100" s="24" t="s">
        <v>779</v>
      </c>
      <c r="AA100" s="9"/>
      <c r="AB100" s="9"/>
      <c r="AC100" s="9" t="s">
        <v>235</v>
      </c>
    </row>
    <row r="101" customFormat="false" ht="75" hidden="false" customHeight="true" outlineLevel="0" collapsed="false">
      <c r="A101" s="8" t="n">
        <f aca="false">RANK(V101,$V$5:$V$101)</f>
        <v>97</v>
      </c>
      <c r="B101" s="7" t="s">
        <v>780</v>
      </c>
      <c r="C101" s="9" t="s">
        <v>237</v>
      </c>
      <c r="D101" s="9" t="s">
        <v>608</v>
      </c>
      <c r="E101" s="11" t="s">
        <v>249</v>
      </c>
      <c r="F101" s="9" t="n">
        <v>11</v>
      </c>
      <c r="G101" s="9" t="s">
        <v>781</v>
      </c>
      <c r="H101" s="9" t="s">
        <v>782</v>
      </c>
      <c r="I101" s="9" t="s">
        <v>783</v>
      </c>
      <c r="J101" s="9" t="s">
        <v>311</v>
      </c>
      <c r="K101" s="11" t="n">
        <v>5</v>
      </c>
      <c r="L101" s="11" t="n">
        <v>1</v>
      </c>
      <c r="M101" s="11" t="n">
        <v>2</v>
      </c>
      <c r="N101" s="11" t="n">
        <v>2</v>
      </c>
      <c r="O101" s="11" t="n">
        <v>2</v>
      </c>
      <c r="P101" s="11" t="n">
        <v>3</v>
      </c>
      <c r="Q101" s="11" t="n">
        <v>2</v>
      </c>
      <c r="R101" s="14" t="n">
        <v>1</v>
      </c>
      <c r="S101" s="8" t="n">
        <f aca="false">IF(E101="Ngoài HN",1,IF(E101="","",6-VALUE(E101)))</f>
        <v>3</v>
      </c>
      <c r="T101" s="11" t="n">
        <v>2</v>
      </c>
      <c r="U101" s="11" t="n">
        <v>3</v>
      </c>
      <c r="V101" s="21" t="n">
        <f aca="false">ROUND(SUMPRODUCT(K101:U101,$K$3:$U$3)/(5*SUM($K$3:$U$3))*100,1)</f>
        <v>47.4</v>
      </c>
      <c r="W101" s="22" t="str">
        <f aca="false">IF(E101="Ngoài HN","Đợt 4 – Ngoài HN",IF(V101&gt;='Trọng số'!$C$19,"Đợt 1",IF(V101&gt;='Trọng số'!$C$20,"Đợt 2","Đợt 3")))</f>
        <v>Đợt 3</v>
      </c>
      <c r="X101" s="23" t="str">
        <f aca="false">IF(K101&gt;=4,"LMS + số hóa học liệu",IF(K101=3,"Nâng cấp/thay LMS + số hóa học liệu","Số hóa học liệu, chạy trên LMS sẵn có"))&amp;IF(L101&gt;=4," + mô phỏng","")&amp;IF(M101&gt;=4," + ngoại ngữ","")</f>
        <v>LMS + số hóa học liệu</v>
      </c>
      <c r="Y101" s="9" t="s">
        <v>260</v>
      </c>
      <c r="Z101" s="24" t="s">
        <v>784</v>
      </c>
      <c r="AA101" s="9"/>
      <c r="AB101" s="9" t="s">
        <v>785</v>
      </c>
      <c r="AC101" s="9" t="s">
        <v>786</v>
      </c>
    </row>
  </sheetData>
  <autoFilter ref="A4:AC101"/>
  <conditionalFormatting sqref="V5:V101">
    <cfRule type="colorScale" priority="2">
      <colorScale>
        <cfvo type="min" val="0"/>
        <cfvo type="percentile" val="50"/>
        <cfvo type="max" val="0"/>
        <color rgb="FFF8CBAD"/>
        <color rgb="FFFFF2CC"/>
        <color rgb="FFA9D08E"/>
      </colorScale>
    </cfRule>
  </conditionalFormatting>
  <conditionalFormatting sqref="W5:W101">
    <cfRule type="expression" priority="3" aboveAverage="0" equalAverage="0" bottom="0" percent="0" rank="0" text="" dxfId="63">
      <formula>LEFT(W5,5)="Đợt 1"</formula>
    </cfRule>
    <cfRule type="expression" priority="4" aboveAverage="0" equalAverage="0" bottom="0" percent="0" rank="0" text="" dxfId="64">
      <formula>LEFT(W5,5)="Đợt 2"</formula>
    </cfRule>
    <cfRule type="expression" priority="5" aboveAverage="0" equalAverage="0" bottom="0" percent="0" rank="0" text="" dxfId="65">
      <formula>LEFT(W5,5)="Đợt 3"</formula>
    </cfRule>
    <cfRule type="expression" priority="6" aboveAverage="0" equalAverage="0" bottom="0" percent="0" rank="0" text="" dxfId="66">
      <formula>LEFT(W5,5)="Đợt 4"</formula>
    </cfRule>
  </conditionalFormatting>
  <conditionalFormatting sqref="Y5:Y101">
    <cfRule type="expression" priority="7" aboveAverage="0" equalAverage="0" bottom="0" percent="0" rank="0" text="" dxfId="67">
      <formula>OR(ISNUMBER(SEARCH("SAI",Y5)),ISNUMBER(SEARCH("KHÔNG",Y5)),ISNUMBER(SEARCH("NGHI",Y5)))</formula>
    </cfRule>
    <cfRule type="expression" priority="8" aboveAverage="0" equalAverage="0" bottom="0" percent="0" rank="0" text="" dxfId="68">
      <formula>LEFT(Y5,12)="Đã xác minh"</formula>
    </cfRule>
    <cfRule type="expression" priority="9" aboveAverage="0" equalAverage="0" bottom="0" percent="0" rank="0" text="" dxfId="69">
      <formula>OR(ISNUMBER(SEARCH("Chưa",Y5)),ISNUMBER(SEARCH("Ước lượng",Y5)))</formula>
    </cfRule>
  </conditionalFormatting>
  <dataValidations count="2">
    <dataValidation allowBlank="true" error="Nhập số nguyên từ 1 đến 5" errorStyle="stop" errorTitle="Điểm 1–5" operator="between" showDropDown="false" showErrorMessage="false" showInputMessage="false" sqref="K5:R101 T5:U101" type="whole">
      <formula1>1</formula1>
      <formula2>5</formula2>
    </dataValidation>
    <dataValidation allowBlank="true" errorStyle="stop" operator="between" showDropDown="false" showErrorMessage="false" showInputMessage="false" sqref="E5:E101" type="list">
      <formula1>"1,2,3,4,Ngoài HN"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9"/>
    <col collapsed="false" customWidth="true" hidden="false" outlineLevel="0" max="4" min="4" style="0" width="22"/>
    <col collapsed="false" customWidth="true" hidden="false" outlineLevel="0" max="5" min="5" style="0" width="20"/>
    <col collapsed="false" customWidth="true" hidden="false" outlineLevel="0" max="6" min="6" style="0" width="24"/>
    <col collapsed="false" customWidth="true" hidden="false" outlineLevel="0" max="7" min="7" style="0" width="18"/>
    <col collapsed="false" customWidth="true" hidden="false" outlineLevel="0" max="8" min="8" style="0" width="13"/>
    <col collapsed="false" customWidth="true" hidden="false" outlineLevel="0" max="9" min="9" style="0" width="22"/>
    <col collapsed="false" customWidth="true" hidden="false" outlineLevel="0" max="10" min="10" style="0" width="34"/>
    <col collapsed="false" customWidth="true" hidden="false" outlineLevel="0" max="11" min="11" style="0" width="30"/>
    <col collapsed="false" customWidth="true" hidden="false" outlineLevel="0" max="12" min="12" style="0" width="14"/>
    <col collapsed="false" customWidth="true" hidden="false" outlineLevel="0" max="13" min="13" style="0" width="34"/>
    <col collapsed="false" customWidth="true" hidden="false" outlineLevel="0" max="14" min="14" style="0" width="12"/>
    <col collapsed="false" customWidth="true" hidden="false" outlineLevel="0" max="15" min="15" style="0" width="9"/>
    <col collapsed="false" customWidth="true" hidden="false" outlineLevel="0" max="16" min="16" style="0" width="30"/>
  </cols>
  <sheetData>
    <row r="1" customFormat="false" ht="18.55" hidden="false" customHeight="false" outlineLevel="0" collapsed="false">
      <c r="A1" s="1" t="s">
        <v>787</v>
      </c>
    </row>
    <row r="2" customFormat="false" ht="15" hidden="false" customHeight="false" outlineLevel="0" collapsed="false">
      <c r="A2" s="2" t="s">
        <v>788</v>
      </c>
    </row>
    <row r="4" customFormat="false" ht="39.75" hidden="false" customHeight="true" outlineLevel="0" collapsed="false">
      <c r="A4" s="6" t="s">
        <v>198</v>
      </c>
      <c r="B4" s="6" t="s">
        <v>789</v>
      </c>
      <c r="C4" s="6" t="s">
        <v>790</v>
      </c>
      <c r="D4" s="6" t="s">
        <v>791</v>
      </c>
      <c r="E4" s="6" t="s">
        <v>792</v>
      </c>
      <c r="F4" s="6" t="s">
        <v>793</v>
      </c>
      <c r="G4" s="6" t="s">
        <v>794</v>
      </c>
      <c r="H4" s="6" t="s">
        <v>795</v>
      </c>
      <c r="I4" s="6" t="s">
        <v>59</v>
      </c>
      <c r="J4" s="6" t="s">
        <v>796</v>
      </c>
      <c r="K4" s="6" t="s">
        <v>797</v>
      </c>
      <c r="L4" s="6" t="s">
        <v>798</v>
      </c>
      <c r="M4" s="6" t="s">
        <v>799</v>
      </c>
      <c r="N4" s="6" t="s">
        <v>800</v>
      </c>
      <c r="O4" s="6" t="s">
        <v>801</v>
      </c>
      <c r="P4" s="6" t="s">
        <v>222</v>
      </c>
    </row>
    <row r="5" customFormat="false" ht="15" hidden="false" customHeight="false" outlineLevel="0" collapsed="false">
      <c r="A5" s="25" t="s">
        <v>802</v>
      </c>
      <c r="B5" s="25" t="s">
        <v>42</v>
      </c>
      <c r="C5" s="25" t="n">
        <v>72</v>
      </c>
      <c r="D5" s="25" t="s">
        <v>803</v>
      </c>
      <c r="E5" s="25" t="s">
        <v>804</v>
      </c>
      <c r="F5" s="25" t="s">
        <v>805</v>
      </c>
      <c r="G5" s="25" t="s">
        <v>806</v>
      </c>
      <c r="H5" s="25" t="s">
        <v>807</v>
      </c>
      <c r="I5" s="25" t="s">
        <v>105</v>
      </c>
      <c r="J5" s="25" t="s">
        <v>808</v>
      </c>
      <c r="K5" s="25" t="s">
        <v>809</v>
      </c>
      <c r="L5" s="25" t="n">
        <v>150</v>
      </c>
      <c r="M5" s="25" t="s">
        <v>810</v>
      </c>
      <c r="N5" s="25" t="s">
        <v>811</v>
      </c>
      <c r="O5" s="25" t="n">
        <v>4</v>
      </c>
      <c r="P5" s="25"/>
    </row>
    <row r="6" customFormat="false" ht="15" hidden="false" customHeight="false" outlineLevel="0" collapsed="false">
      <c r="A6" s="26" t="s">
        <v>225</v>
      </c>
      <c r="B6" s="23" t="str">
        <f aca="false">IFERROR(INDEX('Chấm điểm'!$W$5:$W$101,MATCH(A6,'Chấm điểm'!$B$5:$B$101,0)),"")</f>
        <v>Đợt 1</v>
      </c>
      <c r="C6" s="23" t="n">
        <f aca="false">IFERROR(INDEX('Chấm điểm'!$V$5:$V$101,MATCH(A6,'Chấm điểm'!$B$5:$B$101,0)),"")</f>
        <v>78.2</v>
      </c>
      <c r="D6" s="27"/>
      <c r="E6" s="27"/>
      <c r="F6" s="27"/>
      <c r="G6" s="27"/>
      <c r="H6" s="28"/>
      <c r="I6" s="27" t="s">
        <v>812</v>
      </c>
      <c r="J6" s="27"/>
      <c r="K6" s="27"/>
      <c r="L6" s="27"/>
      <c r="M6" s="27"/>
      <c r="N6" s="28"/>
      <c r="O6" s="23" t="n">
        <f aca="false">IF(I6="","",VALUE(LEFT(I6,1)))</f>
        <v>1</v>
      </c>
      <c r="P6" s="27"/>
    </row>
    <row r="7" customFormat="false" ht="23.85" hidden="false" customHeight="false" outlineLevel="0" collapsed="false">
      <c r="A7" s="26" t="s">
        <v>236</v>
      </c>
      <c r="B7" s="23" t="str">
        <f aca="false">IFERROR(INDEX('Chấm điểm'!$W$5:$W$101,MATCH(A7,'Chấm điểm'!$B$5:$B$101,0)),"")</f>
        <v>Đợt 1</v>
      </c>
      <c r="C7" s="23" t="n">
        <f aca="false">IFERROR(INDEX('Chấm điểm'!$V$5:$V$101,MATCH(A7,'Chấm điểm'!$B$5:$B$101,0)),"")</f>
        <v>77.6</v>
      </c>
      <c r="D7" s="27"/>
      <c r="E7" s="27"/>
      <c r="F7" s="27"/>
      <c r="G7" s="27"/>
      <c r="H7" s="28"/>
      <c r="I7" s="27" t="s">
        <v>812</v>
      </c>
      <c r="J7" s="27"/>
      <c r="K7" s="27"/>
      <c r="L7" s="27"/>
      <c r="M7" s="27"/>
      <c r="N7" s="28"/>
      <c r="O7" s="23" t="n">
        <f aca="false">IF(I7="","",VALUE(LEFT(I7,1)))</f>
        <v>1</v>
      </c>
      <c r="P7" s="27"/>
    </row>
    <row r="8" customFormat="false" ht="15" hidden="false" customHeight="false" outlineLevel="0" collapsed="false">
      <c r="A8" s="26" t="s">
        <v>248</v>
      </c>
      <c r="B8" s="23" t="str">
        <f aca="false">IFERROR(INDEX('Chấm điểm'!$W$5:$W$101,MATCH(A8,'Chấm điểm'!$B$5:$B$101,0)),"")</f>
        <v>Đợt 1</v>
      </c>
      <c r="C8" s="23" t="n">
        <f aca="false">IFERROR(INDEX('Chấm điểm'!$V$5:$V$101,MATCH(A8,'Chấm điểm'!$B$5:$B$101,0)),"")</f>
        <v>73.8</v>
      </c>
      <c r="D8" s="27"/>
      <c r="E8" s="27"/>
      <c r="F8" s="27"/>
      <c r="G8" s="27"/>
      <c r="H8" s="28"/>
      <c r="I8" s="27" t="s">
        <v>812</v>
      </c>
      <c r="J8" s="27"/>
      <c r="K8" s="27"/>
      <c r="L8" s="27"/>
      <c r="M8" s="27"/>
      <c r="N8" s="28"/>
      <c r="O8" s="23" t="n">
        <f aca="false">IF(I8="","",VALUE(LEFT(I8,1)))</f>
        <v>1</v>
      </c>
      <c r="P8" s="27"/>
    </row>
    <row r="9" customFormat="false" ht="23.85" hidden="false" customHeight="false" outlineLevel="0" collapsed="false">
      <c r="A9" s="26" t="s">
        <v>255</v>
      </c>
      <c r="B9" s="23" t="str">
        <f aca="false">IFERROR(INDEX('Chấm điểm'!$W$5:$W$101,MATCH(A9,'Chấm điểm'!$B$5:$B$101,0)),"")</f>
        <v>Đợt 1</v>
      </c>
      <c r="C9" s="23" t="n">
        <f aca="false">IFERROR(INDEX('Chấm điểm'!$V$5:$V$101,MATCH(A9,'Chấm điểm'!$B$5:$B$101,0)),"")</f>
        <v>73.6</v>
      </c>
      <c r="D9" s="27"/>
      <c r="E9" s="27"/>
      <c r="F9" s="27"/>
      <c r="G9" s="27"/>
      <c r="H9" s="28"/>
      <c r="I9" s="27" t="s">
        <v>812</v>
      </c>
      <c r="J9" s="27"/>
      <c r="K9" s="27"/>
      <c r="L9" s="27"/>
      <c r="M9" s="27"/>
      <c r="N9" s="28"/>
      <c r="O9" s="23" t="n">
        <f aca="false">IF(I9="","",VALUE(LEFT(I9,1)))</f>
        <v>1</v>
      </c>
      <c r="P9" s="27"/>
    </row>
    <row r="10" customFormat="false" ht="23.85" hidden="false" customHeight="false" outlineLevel="0" collapsed="false">
      <c r="A10" s="26" t="s">
        <v>264</v>
      </c>
      <c r="B10" s="23" t="str">
        <f aca="false">IFERROR(INDEX('Chấm điểm'!$W$5:$W$101,MATCH(A10,'Chấm điểm'!$B$5:$B$101,0)),"")</f>
        <v>Đợt 1</v>
      </c>
      <c r="C10" s="23" t="n">
        <f aca="false">IFERROR(INDEX('Chấm điểm'!$V$5:$V$101,MATCH(A10,'Chấm điểm'!$B$5:$B$101,0)),"")</f>
        <v>72.8</v>
      </c>
      <c r="D10" s="27"/>
      <c r="E10" s="27"/>
      <c r="F10" s="27"/>
      <c r="G10" s="27"/>
      <c r="H10" s="28"/>
      <c r="I10" s="27" t="s">
        <v>812</v>
      </c>
      <c r="J10" s="27"/>
      <c r="K10" s="27"/>
      <c r="L10" s="27"/>
      <c r="M10" s="27"/>
      <c r="N10" s="28"/>
      <c r="O10" s="23" t="n">
        <f aca="false">IF(I10="","",VALUE(LEFT(I10,1)))</f>
        <v>1</v>
      </c>
      <c r="P10" s="27"/>
    </row>
    <row r="11" customFormat="false" ht="15" hidden="false" customHeight="false" outlineLevel="0" collapsed="false">
      <c r="A11" s="26" t="s">
        <v>274</v>
      </c>
      <c r="B11" s="23" t="str">
        <f aca="false">IFERROR(INDEX('Chấm điểm'!$W$5:$W$101,MATCH(A11,'Chấm điểm'!$B$5:$B$101,0)),"")</f>
        <v>Đợt 1</v>
      </c>
      <c r="C11" s="23" t="n">
        <f aca="false">IFERROR(INDEX('Chấm điểm'!$V$5:$V$101,MATCH(A11,'Chấm điểm'!$B$5:$B$101,0)),"")</f>
        <v>72.8</v>
      </c>
      <c r="D11" s="27"/>
      <c r="E11" s="27"/>
      <c r="F11" s="27"/>
      <c r="G11" s="27"/>
      <c r="H11" s="28"/>
      <c r="I11" s="27" t="s">
        <v>812</v>
      </c>
      <c r="J11" s="27"/>
      <c r="K11" s="27"/>
      <c r="L11" s="27"/>
      <c r="M11" s="27"/>
      <c r="N11" s="28"/>
      <c r="O11" s="23" t="n">
        <f aca="false">IF(I11="","",VALUE(LEFT(I11,1)))</f>
        <v>1</v>
      </c>
      <c r="P11" s="27"/>
    </row>
    <row r="12" customFormat="false" ht="15" hidden="false" customHeight="false" outlineLevel="0" collapsed="false">
      <c r="A12" s="26" t="s">
        <v>281</v>
      </c>
      <c r="B12" s="23" t="str">
        <f aca="false">IFERROR(INDEX('Chấm điểm'!$W$5:$W$101,MATCH(A12,'Chấm điểm'!$B$5:$B$101,0)),"")</f>
        <v>Đợt 1</v>
      </c>
      <c r="C12" s="23" t="n">
        <f aca="false">IFERROR(INDEX('Chấm điểm'!$V$5:$V$101,MATCH(A12,'Chấm điểm'!$B$5:$B$101,0)),"")</f>
        <v>71.8</v>
      </c>
      <c r="D12" s="27"/>
      <c r="E12" s="27"/>
      <c r="F12" s="27"/>
      <c r="G12" s="27"/>
      <c r="H12" s="28"/>
      <c r="I12" s="27" t="s">
        <v>812</v>
      </c>
      <c r="J12" s="27"/>
      <c r="K12" s="27"/>
      <c r="L12" s="27"/>
      <c r="M12" s="27"/>
      <c r="N12" s="28"/>
      <c r="O12" s="23" t="n">
        <f aca="false">IF(I12="","",VALUE(LEFT(I12,1)))</f>
        <v>1</v>
      </c>
      <c r="P12" s="27"/>
    </row>
    <row r="13" customFormat="false" ht="15" hidden="false" customHeight="false" outlineLevel="0" collapsed="false">
      <c r="A13" s="26" t="s">
        <v>292</v>
      </c>
      <c r="B13" s="23" t="str">
        <f aca="false">IFERROR(INDEX('Chấm điểm'!$W$5:$W$101,MATCH(A13,'Chấm điểm'!$B$5:$B$101,0)),"")</f>
        <v>Đợt 1</v>
      </c>
      <c r="C13" s="23" t="n">
        <f aca="false">IFERROR(INDEX('Chấm điểm'!$V$5:$V$101,MATCH(A13,'Chấm điểm'!$B$5:$B$101,0)),"")</f>
        <v>71.4</v>
      </c>
      <c r="D13" s="27"/>
      <c r="E13" s="27"/>
      <c r="F13" s="27"/>
      <c r="G13" s="27"/>
      <c r="H13" s="28"/>
      <c r="I13" s="27" t="s">
        <v>812</v>
      </c>
      <c r="J13" s="27"/>
      <c r="K13" s="27"/>
      <c r="L13" s="27"/>
      <c r="M13" s="27"/>
      <c r="N13" s="28"/>
      <c r="O13" s="23" t="n">
        <f aca="false">IF(I13="","",VALUE(LEFT(I13,1)))</f>
        <v>1</v>
      </c>
      <c r="P13" s="27"/>
    </row>
    <row r="14" customFormat="false" ht="15" hidden="false" customHeight="false" outlineLevel="0" collapsed="false">
      <c r="A14" s="26" t="s">
        <v>295</v>
      </c>
      <c r="B14" s="23" t="str">
        <f aca="false">IFERROR(INDEX('Chấm điểm'!$W$5:$W$101,MATCH(A14,'Chấm điểm'!$B$5:$B$101,0)),"")</f>
        <v>Đợt 1</v>
      </c>
      <c r="C14" s="23" t="n">
        <f aca="false">IFERROR(INDEX('Chấm điểm'!$V$5:$V$101,MATCH(A14,'Chấm điểm'!$B$5:$B$101,0)),"")</f>
        <v>70.8</v>
      </c>
      <c r="D14" s="27"/>
      <c r="E14" s="27"/>
      <c r="F14" s="27"/>
      <c r="G14" s="27"/>
      <c r="H14" s="28"/>
      <c r="I14" s="27" t="s">
        <v>812</v>
      </c>
      <c r="J14" s="27"/>
      <c r="K14" s="27"/>
      <c r="L14" s="27"/>
      <c r="M14" s="27"/>
      <c r="N14" s="28"/>
      <c r="O14" s="23" t="n">
        <f aca="false">IF(I14="","",VALUE(LEFT(I14,1)))</f>
        <v>1</v>
      </c>
      <c r="P14" s="27"/>
    </row>
    <row r="15" customFormat="false" ht="23.85" hidden="false" customHeight="false" outlineLevel="0" collapsed="false">
      <c r="A15" s="26" t="s">
        <v>304</v>
      </c>
      <c r="B15" s="23" t="str">
        <f aca="false">IFERROR(INDEX('Chấm điểm'!$W$5:$W$101,MATCH(A15,'Chấm điểm'!$B$5:$B$101,0)),"")</f>
        <v>Đợt 1</v>
      </c>
      <c r="C15" s="23" t="n">
        <f aca="false">IFERROR(INDEX('Chấm điểm'!$V$5:$V$101,MATCH(A15,'Chấm điểm'!$B$5:$B$101,0)),"")</f>
        <v>70.6</v>
      </c>
      <c r="D15" s="27"/>
      <c r="E15" s="27"/>
      <c r="F15" s="27"/>
      <c r="G15" s="27"/>
      <c r="H15" s="28"/>
      <c r="I15" s="27" t="s">
        <v>812</v>
      </c>
      <c r="J15" s="27"/>
      <c r="K15" s="27"/>
      <c r="L15" s="27"/>
      <c r="M15" s="27"/>
      <c r="N15" s="28"/>
      <c r="O15" s="23" t="n">
        <f aca="false">IF(I15="","",VALUE(LEFT(I15,1)))</f>
        <v>1</v>
      </c>
      <c r="P15" s="27"/>
    </row>
    <row r="16" customFormat="false" ht="23.85" hidden="false" customHeight="false" outlineLevel="0" collapsed="false">
      <c r="A16" s="26" t="s">
        <v>307</v>
      </c>
      <c r="B16" s="23" t="str">
        <f aca="false">IFERROR(INDEX('Chấm điểm'!$W$5:$W$101,MATCH(A16,'Chấm điểm'!$B$5:$B$101,0)),"")</f>
        <v>Đợt 1</v>
      </c>
      <c r="C16" s="23" t="n">
        <f aca="false">IFERROR(INDEX('Chấm điểm'!$V$5:$V$101,MATCH(A16,'Chấm điểm'!$B$5:$B$101,0)),"")</f>
        <v>70.2</v>
      </c>
      <c r="D16" s="27"/>
      <c r="E16" s="27"/>
      <c r="F16" s="27"/>
      <c r="G16" s="27"/>
      <c r="H16" s="28"/>
      <c r="I16" s="27" t="s">
        <v>812</v>
      </c>
      <c r="J16" s="27"/>
      <c r="K16" s="27"/>
      <c r="L16" s="27"/>
      <c r="M16" s="27"/>
      <c r="N16" s="28"/>
      <c r="O16" s="23" t="n">
        <f aca="false">IF(I16="","",VALUE(LEFT(I16,1)))</f>
        <v>1</v>
      </c>
      <c r="P16" s="27"/>
    </row>
    <row r="17" customFormat="false" ht="15" hidden="false" customHeight="false" outlineLevel="0" collapsed="false">
      <c r="A17" s="26" t="s">
        <v>315</v>
      </c>
      <c r="B17" s="23" t="str">
        <f aca="false">IFERROR(INDEX('Chấm điểm'!$W$5:$W$101,MATCH(A17,'Chấm điểm'!$B$5:$B$101,0)),"")</f>
        <v>Đợt 1</v>
      </c>
      <c r="C17" s="23" t="n">
        <f aca="false">IFERROR(INDEX('Chấm điểm'!$V$5:$V$101,MATCH(A17,'Chấm điểm'!$B$5:$B$101,0)),"")</f>
        <v>70.2</v>
      </c>
      <c r="D17" s="27"/>
      <c r="E17" s="27"/>
      <c r="F17" s="27"/>
      <c r="G17" s="27"/>
      <c r="H17" s="28"/>
      <c r="I17" s="27" t="s">
        <v>812</v>
      </c>
      <c r="J17" s="27"/>
      <c r="K17" s="27"/>
      <c r="L17" s="27"/>
      <c r="M17" s="27"/>
      <c r="N17" s="28"/>
      <c r="O17" s="23" t="n">
        <f aca="false">IF(I17="","",VALUE(LEFT(I17,1)))</f>
        <v>1</v>
      </c>
      <c r="P17" s="27"/>
    </row>
    <row r="18" customFormat="false" ht="15" hidden="false" customHeight="false" outlineLevel="0" collapsed="false">
      <c r="A18" s="26" t="s">
        <v>318</v>
      </c>
      <c r="B18" s="23" t="str">
        <f aca="false">IFERROR(INDEX('Chấm điểm'!$W$5:$W$101,MATCH(A18,'Chấm điểm'!$B$5:$B$101,0)),"")</f>
        <v>Đợt 1</v>
      </c>
      <c r="C18" s="23" t="n">
        <f aca="false">IFERROR(INDEX('Chấm điểm'!$V$5:$V$101,MATCH(A18,'Chấm điểm'!$B$5:$B$101,0)),"")</f>
        <v>70</v>
      </c>
      <c r="D18" s="27"/>
      <c r="E18" s="27"/>
      <c r="F18" s="27"/>
      <c r="G18" s="27"/>
      <c r="H18" s="28"/>
      <c r="I18" s="27" t="s">
        <v>812</v>
      </c>
      <c r="J18" s="27"/>
      <c r="K18" s="27"/>
      <c r="L18" s="27"/>
      <c r="M18" s="27"/>
      <c r="N18" s="28"/>
      <c r="O18" s="23" t="n">
        <f aca="false">IF(I18="","",VALUE(LEFT(I18,1)))</f>
        <v>1</v>
      </c>
      <c r="P18" s="27"/>
    </row>
    <row r="19" customFormat="false" ht="23.85" hidden="false" customHeight="false" outlineLevel="0" collapsed="false">
      <c r="A19" s="26" t="s">
        <v>325</v>
      </c>
      <c r="B19" s="23" t="str">
        <f aca="false">IFERROR(INDEX('Chấm điểm'!$W$5:$W$101,MATCH(A19,'Chấm điểm'!$B$5:$B$101,0)),"")</f>
        <v>Đợt 1</v>
      </c>
      <c r="C19" s="23" t="n">
        <f aca="false">IFERROR(INDEX('Chấm điểm'!$V$5:$V$101,MATCH(A19,'Chấm điểm'!$B$5:$B$101,0)),"")</f>
        <v>70</v>
      </c>
      <c r="D19" s="27"/>
      <c r="E19" s="27"/>
      <c r="F19" s="27"/>
      <c r="G19" s="27"/>
      <c r="H19" s="28"/>
      <c r="I19" s="27" t="s">
        <v>812</v>
      </c>
      <c r="J19" s="27"/>
      <c r="K19" s="27"/>
      <c r="L19" s="27"/>
      <c r="M19" s="27"/>
      <c r="N19" s="28"/>
      <c r="O19" s="23" t="n">
        <f aca="false">IF(I19="","",VALUE(LEFT(I19,1)))</f>
        <v>1</v>
      </c>
      <c r="P19" s="27"/>
    </row>
    <row r="20" customFormat="false" ht="15" hidden="false" customHeight="false" outlineLevel="0" collapsed="false">
      <c r="A20" s="26" t="s">
        <v>334</v>
      </c>
      <c r="B20" s="23" t="str">
        <f aca="false">IFERROR(INDEX('Chấm điểm'!$W$5:$W$101,MATCH(A20,'Chấm điểm'!$B$5:$B$101,0)),"")</f>
        <v>Đợt 1</v>
      </c>
      <c r="C20" s="23" t="n">
        <f aca="false">IFERROR(INDEX('Chấm điểm'!$V$5:$V$101,MATCH(A20,'Chấm điểm'!$B$5:$B$101,0)),"")</f>
        <v>70</v>
      </c>
      <c r="D20" s="27"/>
      <c r="E20" s="27"/>
      <c r="F20" s="27"/>
      <c r="G20" s="27"/>
      <c r="H20" s="28"/>
      <c r="I20" s="27" t="s">
        <v>812</v>
      </c>
      <c r="J20" s="27"/>
      <c r="K20" s="27"/>
      <c r="L20" s="27"/>
      <c r="M20" s="27"/>
      <c r="N20" s="28"/>
      <c r="O20" s="23" t="n">
        <f aca="false">IF(I20="","",VALUE(LEFT(I20,1)))</f>
        <v>1</v>
      </c>
      <c r="P20" s="27"/>
    </row>
    <row r="21" customFormat="false" ht="15" hidden="false" customHeight="false" outlineLevel="0" collapsed="false">
      <c r="A21" s="26" t="s">
        <v>338</v>
      </c>
      <c r="B21" s="23" t="str">
        <f aca="false">IFERROR(INDEX('Chấm điểm'!$W$5:$W$101,MATCH(A21,'Chấm điểm'!$B$5:$B$101,0)),"")</f>
        <v>Đợt 1</v>
      </c>
      <c r="C21" s="23" t="n">
        <f aca="false">IFERROR(INDEX('Chấm điểm'!$V$5:$V$101,MATCH(A21,'Chấm điểm'!$B$5:$B$101,0)),"")</f>
        <v>70</v>
      </c>
      <c r="D21" s="27"/>
      <c r="E21" s="27"/>
      <c r="F21" s="27"/>
      <c r="G21" s="27"/>
      <c r="H21" s="28"/>
      <c r="I21" s="27" t="s">
        <v>812</v>
      </c>
      <c r="J21" s="27"/>
      <c r="K21" s="27"/>
      <c r="L21" s="27"/>
      <c r="M21" s="27"/>
      <c r="N21" s="28"/>
      <c r="O21" s="23" t="n">
        <f aca="false">IF(I21="","",VALUE(LEFT(I21,1)))</f>
        <v>1</v>
      </c>
      <c r="P21" s="27"/>
    </row>
    <row r="22" customFormat="false" ht="23.85" hidden="false" customHeight="false" outlineLevel="0" collapsed="false">
      <c r="A22" s="26" t="s">
        <v>342</v>
      </c>
      <c r="B22" s="23" t="str">
        <f aca="false">IFERROR(INDEX('Chấm điểm'!$W$5:$W$101,MATCH(A22,'Chấm điểm'!$B$5:$B$101,0)),"")</f>
        <v>Đợt 2</v>
      </c>
      <c r="C22" s="23" t="n">
        <f aca="false">IFERROR(INDEX('Chấm điểm'!$V$5:$V$101,MATCH(A22,'Chấm điểm'!$B$5:$B$101,0)),"")</f>
        <v>69.8</v>
      </c>
      <c r="D22" s="27"/>
      <c r="E22" s="27"/>
      <c r="F22" s="27"/>
      <c r="G22" s="27"/>
      <c r="H22" s="28"/>
      <c r="I22" s="27" t="s">
        <v>812</v>
      </c>
      <c r="J22" s="27"/>
      <c r="K22" s="27"/>
      <c r="L22" s="27"/>
      <c r="M22" s="27"/>
      <c r="N22" s="28"/>
      <c r="O22" s="23" t="n">
        <f aca="false">IF(I22="","",VALUE(LEFT(I22,1)))</f>
        <v>1</v>
      </c>
      <c r="P22" s="27"/>
    </row>
    <row r="23" customFormat="false" ht="15" hidden="false" customHeight="false" outlineLevel="0" collapsed="false">
      <c r="A23" s="26" t="s">
        <v>346</v>
      </c>
      <c r="B23" s="23" t="str">
        <f aca="false">IFERROR(INDEX('Chấm điểm'!$W$5:$W$101,MATCH(A23,'Chấm điểm'!$B$5:$B$101,0)),"")</f>
        <v>Đợt 2</v>
      </c>
      <c r="C23" s="23" t="n">
        <f aca="false">IFERROR(INDEX('Chấm điểm'!$V$5:$V$101,MATCH(A23,'Chấm điểm'!$B$5:$B$101,0)),"")</f>
        <v>69.6</v>
      </c>
      <c r="D23" s="27"/>
      <c r="E23" s="27"/>
      <c r="F23" s="27"/>
      <c r="G23" s="27"/>
      <c r="H23" s="28"/>
      <c r="I23" s="27" t="s">
        <v>812</v>
      </c>
      <c r="J23" s="27"/>
      <c r="K23" s="27"/>
      <c r="L23" s="27"/>
      <c r="M23" s="27"/>
      <c r="N23" s="28"/>
      <c r="O23" s="23" t="n">
        <f aca="false">IF(I23="","",VALUE(LEFT(I23,1)))</f>
        <v>1</v>
      </c>
      <c r="P23" s="27"/>
    </row>
    <row r="24" customFormat="false" ht="15" hidden="false" customHeight="false" outlineLevel="0" collapsed="false">
      <c r="A24" s="26" t="s">
        <v>353</v>
      </c>
      <c r="B24" s="23" t="str">
        <f aca="false">IFERROR(INDEX('Chấm điểm'!$W$5:$W$101,MATCH(A24,'Chấm điểm'!$B$5:$B$101,0)),"")</f>
        <v>Đợt 2</v>
      </c>
      <c r="C24" s="23" t="n">
        <f aca="false">IFERROR(INDEX('Chấm điểm'!$V$5:$V$101,MATCH(A24,'Chấm điểm'!$B$5:$B$101,0)),"")</f>
        <v>69.6</v>
      </c>
      <c r="D24" s="27"/>
      <c r="E24" s="27"/>
      <c r="F24" s="27"/>
      <c r="G24" s="27"/>
      <c r="H24" s="28"/>
      <c r="I24" s="27" t="s">
        <v>812</v>
      </c>
      <c r="J24" s="27"/>
      <c r="K24" s="27"/>
      <c r="L24" s="27"/>
      <c r="M24" s="27"/>
      <c r="N24" s="28"/>
      <c r="O24" s="23" t="n">
        <f aca="false">IF(I24="","",VALUE(LEFT(I24,1)))</f>
        <v>1</v>
      </c>
      <c r="P24" s="27"/>
    </row>
    <row r="25" customFormat="false" ht="15" hidden="false" customHeight="false" outlineLevel="0" collapsed="false">
      <c r="A25" s="26" t="s">
        <v>360</v>
      </c>
      <c r="B25" s="23" t="str">
        <f aca="false">IFERROR(INDEX('Chấm điểm'!$W$5:$W$101,MATCH(A25,'Chấm điểm'!$B$5:$B$101,0)),"")</f>
        <v>Đợt 2</v>
      </c>
      <c r="C25" s="23" t="n">
        <f aca="false">IFERROR(INDEX('Chấm điểm'!$V$5:$V$101,MATCH(A25,'Chấm điểm'!$B$5:$B$101,0)),"")</f>
        <v>69</v>
      </c>
      <c r="D25" s="27"/>
      <c r="E25" s="27"/>
      <c r="F25" s="27"/>
      <c r="G25" s="27"/>
      <c r="H25" s="28"/>
      <c r="I25" s="27" t="s">
        <v>812</v>
      </c>
      <c r="J25" s="27"/>
      <c r="K25" s="27"/>
      <c r="L25" s="27"/>
      <c r="M25" s="27"/>
      <c r="N25" s="28"/>
      <c r="O25" s="23" t="n">
        <f aca="false">IF(I25="","",VALUE(LEFT(I25,1)))</f>
        <v>1</v>
      </c>
      <c r="P25" s="27"/>
    </row>
    <row r="26" customFormat="false" ht="15" hidden="false" customHeight="false" outlineLevel="0" collapsed="false">
      <c r="A26" s="26" t="s">
        <v>367</v>
      </c>
      <c r="B26" s="23" t="str">
        <f aca="false">IFERROR(INDEX('Chấm điểm'!$W$5:$W$101,MATCH(A26,'Chấm điểm'!$B$5:$B$101,0)),"")</f>
        <v>Đợt 2</v>
      </c>
      <c r="C26" s="23" t="n">
        <f aca="false">IFERROR(INDEX('Chấm điểm'!$V$5:$V$101,MATCH(A26,'Chấm điểm'!$B$5:$B$101,0)),"")</f>
        <v>69</v>
      </c>
      <c r="D26" s="27"/>
      <c r="E26" s="27"/>
      <c r="F26" s="27"/>
      <c r="G26" s="27"/>
      <c r="H26" s="28"/>
      <c r="I26" s="27" t="s">
        <v>812</v>
      </c>
      <c r="J26" s="27"/>
      <c r="K26" s="27"/>
      <c r="L26" s="27"/>
      <c r="M26" s="27"/>
      <c r="N26" s="28"/>
      <c r="O26" s="23" t="n">
        <f aca="false">IF(I26="","",VALUE(LEFT(I26,1)))</f>
        <v>1</v>
      </c>
      <c r="P26" s="27"/>
    </row>
    <row r="27" customFormat="false" ht="15" hidden="false" customHeight="false" outlineLevel="0" collapsed="false">
      <c r="A27" s="26" t="s">
        <v>370</v>
      </c>
      <c r="B27" s="23" t="str">
        <f aca="false">IFERROR(INDEX('Chấm điểm'!$W$5:$W$101,MATCH(A27,'Chấm điểm'!$B$5:$B$101,0)),"")</f>
        <v>Đợt 2</v>
      </c>
      <c r="C27" s="23" t="n">
        <f aca="false">IFERROR(INDEX('Chấm điểm'!$V$5:$V$101,MATCH(A27,'Chấm điểm'!$B$5:$B$101,0)),"")</f>
        <v>69</v>
      </c>
      <c r="D27" s="27"/>
      <c r="E27" s="27"/>
      <c r="F27" s="27"/>
      <c r="G27" s="27"/>
      <c r="H27" s="28"/>
      <c r="I27" s="27" t="s">
        <v>812</v>
      </c>
      <c r="J27" s="27"/>
      <c r="K27" s="27"/>
      <c r="L27" s="27"/>
      <c r="M27" s="27"/>
      <c r="N27" s="28"/>
      <c r="O27" s="23" t="n">
        <f aca="false">IF(I27="","",VALUE(LEFT(I27,1)))</f>
        <v>1</v>
      </c>
      <c r="P27" s="27"/>
    </row>
    <row r="28" customFormat="false" ht="23.85" hidden="false" customHeight="false" outlineLevel="0" collapsed="false">
      <c r="A28" s="26" t="s">
        <v>375</v>
      </c>
      <c r="B28" s="23" t="str">
        <f aca="false">IFERROR(INDEX('Chấm điểm'!$W$5:$W$101,MATCH(A28,'Chấm điểm'!$B$5:$B$101,0)),"")</f>
        <v>Đợt 2</v>
      </c>
      <c r="C28" s="23" t="n">
        <f aca="false">IFERROR(INDEX('Chấm điểm'!$V$5:$V$101,MATCH(A28,'Chấm điểm'!$B$5:$B$101,0)),"")</f>
        <v>68.6</v>
      </c>
      <c r="D28" s="27"/>
      <c r="E28" s="27"/>
      <c r="F28" s="27"/>
      <c r="G28" s="27"/>
      <c r="H28" s="28"/>
      <c r="I28" s="27" t="s">
        <v>812</v>
      </c>
      <c r="J28" s="27"/>
      <c r="K28" s="27"/>
      <c r="L28" s="27"/>
      <c r="M28" s="27"/>
      <c r="N28" s="28"/>
      <c r="O28" s="23" t="n">
        <f aca="false">IF(I28="","",VALUE(LEFT(I28,1)))</f>
        <v>1</v>
      </c>
      <c r="P28" s="27"/>
    </row>
    <row r="29" customFormat="false" ht="15" hidden="false" customHeight="false" outlineLevel="0" collapsed="false">
      <c r="A29" s="26" t="s">
        <v>379</v>
      </c>
      <c r="B29" s="23" t="str">
        <f aca="false">IFERROR(INDEX('Chấm điểm'!$W$5:$W$101,MATCH(A29,'Chấm điểm'!$B$5:$B$101,0)),"")</f>
        <v>Đợt 2</v>
      </c>
      <c r="C29" s="23" t="n">
        <f aca="false">IFERROR(INDEX('Chấm điểm'!$V$5:$V$101,MATCH(A29,'Chấm điểm'!$B$5:$B$101,0)),"")</f>
        <v>68.6</v>
      </c>
      <c r="D29" s="27"/>
      <c r="E29" s="27"/>
      <c r="F29" s="27"/>
      <c r="G29" s="27"/>
      <c r="H29" s="28"/>
      <c r="I29" s="27" t="s">
        <v>812</v>
      </c>
      <c r="J29" s="27"/>
      <c r="K29" s="27"/>
      <c r="L29" s="27"/>
      <c r="M29" s="27"/>
      <c r="N29" s="28"/>
      <c r="O29" s="23" t="n">
        <f aca="false">IF(I29="","",VALUE(LEFT(I29,1)))</f>
        <v>1</v>
      </c>
      <c r="P29" s="27"/>
    </row>
    <row r="30" customFormat="false" ht="23.85" hidden="false" customHeight="false" outlineLevel="0" collapsed="false">
      <c r="A30" s="26" t="s">
        <v>383</v>
      </c>
      <c r="B30" s="23" t="str">
        <f aca="false">IFERROR(INDEX('Chấm điểm'!$W$5:$W$101,MATCH(A30,'Chấm điểm'!$B$5:$B$101,0)),"")</f>
        <v>Đợt 2</v>
      </c>
      <c r="C30" s="23" t="n">
        <f aca="false">IFERROR(INDEX('Chấm điểm'!$V$5:$V$101,MATCH(A30,'Chấm điểm'!$B$5:$B$101,0)),"")</f>
        <v>68.4</v>
      </c>
      <c r="D30" s="27"/>
      <c r="E30" s="27"/>
      <c r="F30" s="27"/>
      <c r="G30" s="27"/>
      <c r="H30" s="28"/>
      <c r="I30" s="27" t="s">
        <v>812</v>
      </c>
      <c r="J30" s="27"/>
      <c r="K30" s="27"/>
      <c r="L30" s="27"/>
      <c r="M30" s="27"/>
      <c r="N30" s="28"/>
      <c r="O30" s="23" t="n">
        <f aca="false">IF(I30="","",VALUE(LEFT(I30,1)))</f>
        <v>1</v>
      </c>
      <c r="P30" s="27"/>
    </row>
    <row r="31" customFormat="false" ht="23.85" hidden="false" customHeight="false" outlineLevel="0" collapsed="false">
      <c r="A31" s="26" t="s">
        <v>391</v>
      </c>
      <c r="B31" s="23" t="str">
        <f aca="false">IFERROR(INDEX('Chấm điểm'!$W$5:$W$101,MATCH(A31,'Chấm điểm'!$B$5:$B$101,0)),"")</f>
        <v>Đợt 2</v>
      </c>
      <c r="C31" s="23" t="n">
        <f aca="false">IFERROR(INDEX('Chấm điểm'!$V$5:$V$101,MATCH(A31,'Chấm điểm'!$B$5:$B$101,0)),"")</f>
        <v>68.4</v>
      </c>
      <c r="D31" s="27"/>
      <c r="E31" s="27"/>
      <c r="F31" s="27"/>
      <c r="G31" s="27"/>
      <c r="H31" s="28"/>
      <c r="I31" s="27" t="s">
        <v>812</v>
      </c>
      <c r="J31" s="27"/>
      <c r="K31" s="27"/>
      <c r="L31" s="27"/>
      <c r="M31" s="27"/>
      <c r="N31" s="28"/>
      <c r="O31" s="23" t="n">
        <f aca="false">IF(I31="","",VALUE(LEFT(I31,1)))</f>
        <v>1</v>
      </c>
      <c r="P31" s="27"/>
    </row>
    <row r="32" customFormat="false" ht="15" hidden="false" customHeight="false" outlineLevel="0" collapsed="false">
      <c r="A32" s="26" t="s">
        <v>392</v>
      </c>
      <c r="B32" s="23" t="str">
        <f aca="false">IFERROR(INDEX('Chấm điểm'!$W$5:$W$101,MATCH(A32,'Chấm điểm'!$B$5:$B$101,0)),"")</f>
        <v>Đợt 2</v>
      </c>
      <c r="C32" s="23" t="n">
        <f aca="false">IFERROR(INDEX('Chấm điểm'!$V$5:$V$101,MATCH(A32,'Chấm điểm'!$B$5:$B$101,0)),"")</f>
        <v>68.4</v>
      </c>
      <c r="D32" s="27"/>
      <c r="E32" s="27"/>
      <c r="F32" s="27"/>
      <c r="G32" s="27"/>
      <c r="H32" s="28"/>
      <c r="I32" s="27" t="s">
        <v>812</v>
      </c>
      <c r="J32" s="27"/>
      <c r="K32" s="27"/>
      <c r="L32" s="27"/>
      <c r="M32" s="27"/>
      <c r="N32" s="28"/>
      <c r="O32" s="23" t="n">
        <f aca="false">IF(I32="","",VALUE(LEFT(I32,1)))</f>
        <v>1</v>
      </c>
      <c r="P32" s="27"/>
    </row>
    <row r="33" customFormat="false" ht="15" hidden="false" customHeight="false" outlineLevel="0" collapsed="false">
      <c r="A33" s="26" t="s">
        <v>395</v>
      </c>
      <c r="B33" s="23" t="str">
        <f aca="false">IFERROR(INDEX('Chấm điểm'!$W$5:$W$101,MATCH(A33,'Chấm điểm'!$B$5:$B$101,0)),"")</f>
        <v>Đợt 2</v>
      </c>
      <c r="C33" s="23" t="n">
        <f aca="false">IFERROR(INDEX('Chấm điểm'!$V$5:$V$101,MATCH(A33,'Chấm điểm'!$B$5:$B$101,0)),"")</f>
        <v>68.4</v>
      </c>
      <c r="D33" s="27"/>
      <c r="E33" s="27"/>
      <c r="F33" s="27"/>
      <c r="G33" s="27"/>
      <c r="H33" s="28"/>
      <c r="I33" s="27" t="s">
        <v>812</v>
      </c>
      <c r="J33" s="27"/>
      <c r="K33" s="27"/>
      <c r="L33" s="27"/>
      <c r="M33" s="27"/>
      <c r="N33" s="28"/>
      <c r="O33" s="23" t="n">
        <f aca="false">IF(I33="","",VALUE(LEFT(I33,1)))</f>
        <v>1</v>
      </c>
      <c r="P33" s="27"/>
    </row>
    <row r="34" customFormat="false" ht="15" hidden="false" customHeight="false" outlineLevel="0" collapsed="false">
      <c r="A34" s="26" t="s">
        <v>399</v>
      </c>
      <c r="B34" s="23" t="str">
        <f aca="false">IFERROR(INDEX('Chấm điểm'!$W$5:$W$101,MATCH(A34,'Chấm điểm'!$B$5:$B$101,0)),"")</f>
        <v>Đợt 2</v>
      </c>
      <c r="C34" s="23" t="n">
        <f aca="false">IFERROR(INDEX('Chấm điểm'!$V$5:$V$101,MATCH(A34,'Chấm điểm'!$B$5:$B$101,0)),"")</f>
        <v>67.8</v>
      </c>
      <c r="D34" s="27"/>
      <c r="E34" s="27"/>
      <c r="F34" s="27"/>
      <c r="G34" s="27"/>
      <c r="H34" s="28"/>
      <c r="I34" s="27" t="s">
        <v>812</v>
      </c>
      <c r="J34" s="27"/>
      <c r="K34" s="27"/>
      <c r="L34" s="27"/>
      <c r="M34" s="27"/>
      <c r="N34" s="28"/>
      <c r="O34" s="23" t="n">
        <f aca="false">IF(I34="","",VALUE(LEFT(I34,1)))</f>
        <v>1</v>
      </c>
      <c r="P34" s="27"/>
    </row>
    <row r="35" customFormat="false" ht="15" hidden="false" customHeight="false" outlineLevel="0" collapsed="false">
      <c r="A35" s="26" t="s">
        <v>406</v>
      </c>
      <c r="B35" s="23" t="str">
        <f aca="false">IFERROR(INDEX('Chấm điểm'!$W$5:$W$101,MATCH(A35,'Chấm điểm'!$B$5:$B$101,0)),"")</f>
        <v>Đợt 2</v>
      </c>
      <c r="C35" s="23" t="n">
        <f aca="false">IFERROR(INDEX('Chấm điểm'!$V$5:$V$101,MATCH(A35,'Chấm điểm'!$B$5:$B$101,0)),"")</f>
        <v>67.8</v>
      </c>
      <c r="D35" s="27"/>
      <c r="E35" s="27"/>
      <c r="F35" s="27"/>
      <c r="G35" s="27"/>
      <c r="H35" s="28"/>
      <c r="I35" s="27" t="s">
        <v>812</v>
      </c>
      <c r="J35" s="27"/>
      <c r="K35" s="27"/>
      <c r="L35" s="27"/>
      <c r="M35" s="27"/>
      <c r="N35" s="28"/>
      <c r="O35" s="23" t="n">
        <f aca="false">IF(I35="","",VALUE(LEFT(I35,1)))</f>
        <v>1</v>
      </c>
      <c r="P35" s="27"/>
    </row>
    <row r="36" customFormat="false" ht="23.85" hidden="false" customHeight="false" outlineLevel="0" collapsed="false">
      <c r="A36" s="26" t="s">
        <v>412</v>
      </c>
      <c r="B36" s="23" t="str">
        <f aca="false">IFERROR(INDEX('Chấm điểm'!$W$5:$W$101,MATCH(A36,'Chấm điểm'!$B$5:$B$101,0)),"")</f>
        <v>Đợt 2</v>
      </c>
      <c r="C36" s="23" t="n">
        <f aca="false">IFERROR(INDEX('Chấm điểm'!$V$5:$V$101,MATCH(A36,'Chấm điểm'!$B$5:$B$101,0)),"")</f>
        <v>67.8</v>
      </c>
      <c r="D36" s="27"/>
      <c r="E36" s="27"/>
      <c r="F36" s="27"/>
      <c r="G36" s="27"/>
      <c r="H36" s="28"/>
      <c r="I36" s="27" t="s">
        <v>812</v>
      </c>
      <c r="J36" s="27"/>
      <c r="K36" s="27"/>
      <c r="L36" s="27"/>
      <c r="M36" s="27"/>
      <c r="N36" s="28"/>
      <c r="O36" s="23" t="n">
        <f aca="false">IF(I36="","",VALUE(LEFT(I36,1)))</f>
        <v>1</v>
      </c>
      <c r="P36" s="27"/>
    </row>
    <row r="37" customFormat="false" ht="15" hidden="false" customHeight="false" outlineLevel="0" collapsed="false">
      <c r="A37" s="26" t="s">
        <v>413</v>
      </c>
      <c r="B37" s="23" t="str">
        <f aca="false">IFERROR(INDEX('Chấm điểm'!$W$5:$W$101,MATCH(A37,'Chấm điểm'!$B$5:$B$101,0)),"")</f>
        <v>Đợt 2</v>
      </c>
      <c r="C37" s="23" t="n">
        <f aca="false">IFERROR(INDEX('Chấm điểm'!$V$5:$V$101,MATCH(A37,'Chấm điểm'!$B$5:$B$101,0)),"")</f>
        <v>67.8</v>
      </c>
      <c r="D37" s="27"/>
      <c r="E37" s="27"/>
      <c r="F37" s="27"/>
      <c r="G37" s="27"/>
      <c r="H37" s="28"/>
      <c r="I37" s="27" t="s">
        <v>812</v>
      </c>
      <c r="J37" s="27"/>
      <c r="K37" s="27"/>
      <c r="L37" s="27"/>
      <c r="M37" s="27"/>
      <c r="N37" s="28"/>
      <c r="O37" s="23" t="n">
        <f aca="false">IF(I37="","",VALUE(LEFT(I37,1)))</f>
        <v>1</v>
      </c>
      <c r="P37" s="27"/>
    </row>
    <row r="38" customFormat="false" ht="15" hidden="false" customHeight="false" outlineLevel="0" collapsed="false">
      <c r="A38" s="26" t="s">
        <v>417</v>
      </c>
      <c r="B38" s="23" t="str">
        <f aca="false">IFERROR(INDEX('Chấm điểm'!$W$5:$W$101,MATCH(A38,'Chấm điểm'!$B$5:$B$101,0)),"")</f>
        <v>Đợt 2</v>
      </c>
      <c r="C38" s="23" t="n">
        <f aca="false">IFERROR(INDEX('Chấm điểm'!$V$5:$V$101,MATCH(A38,'Chấm điểm'!$B$5:$B$101,0)),"")</f>
        <v>67.6</v>
      </c>
      <c r="D38" s="27"/>
      <c r="E38" s="27"/>
      <c r="F38" s="27"/>
      <c r="G38" s="27"/>
      <c r="H38" s="28"/>
      <c r="I38" s="27" t="s">
        <v>812</v>
      </c>
      <c r="J38" s="27"/>
      <c r="K38" s="27"/>
      <c r="L38" s="27"/>
      <c r="M38" s="27"/>
      <c r="N38" s="28"/>
      <c r="O38" s="23" t="n">
        <f aca="false">IF(I38="","",VALUE(LEFT(I38,1)))</f>
        <v>1</v>
      </c>
      <c r="P38" s="27"/>
    </row>
    <row r="39" customFormat="false" ht="23.85" hidden="false" customHeight="false" outlineLevel="0" collapsed="false">
      <c r="A39" s="26" t="s">
        <v>424</v>
      </c>
      <c r="B39" s="23" t="str">
        <f aca="false">IFERROR(INDEX('Chấm điểm'!$W$5:$W$101,MATCH(A39,'Chấm điểm'!$B$5:$B$101,0)),"")</f>
        <v>Đợt 2</v>
      </c>
      <c r="C39" s="23" t="n">
        <f aca="false">IFERROR(INDEX('Chấm điểm'!$V$5:$V$101,MATCH(A39,'Chấm điểm'!$B$5:$B$101,0)),"")</f>
        <v>67.2</v>
      </c>
      <c r="D39" s="27"/>
      <c r="E39" s="27"/>
      <c r="F39" s="27"/>
      <c r="G39" s="27"/>
      <c r="H39" s="28"/>
      <c r="I39" s="27" t="s">
        <v>812</v>
      </c>
      <c r="J39" s="27"/>
      <c r="K39" s="27"/>
      <c r="L39" s="27"/>
      <c r="M39" s="27"/>
      <c r="N39" s="28"/>
      <c r="O39" s="23" t="n">
        <f aca="false">IF(I39="","",VALUE(LEFT(I39,1)))</f>
        <v>1</v>
      </c>
      <c r="P39" s="27"/>
    </row>
    <row r="40" customFormat="false" ht="23.85" hidden="false" customHeight="false" outlineLevel="0" collapsed="false">
      <c r="A40" s="26" t="s">
        <v>427</v>
      </c>
      <c r="B40" s="23" t="str">
        <f aca="false">IFERROR(INDEX('Chấm điểm'!$W$5:$W$101,MATCH(A40,'Chấm điểm'!$B$5:$B$101,0)),"")</f>
        <v>Đợt 2</v>
      </c>
      <c r="C40" s="23" t="n">
        <f aca="false">IFERROR(INDEX('Chấm điểm'!$V$5:$V$101,MATCH(A40,'Chấm điểm'!$B$5:$B$101,0)),"")</f>
        <v>67.2</v>
      </c>
      <c r="D40" s="27"/>
      <c r="E40" s="27"/>
      <c r="F40" s="27"/>
      <c r="G40" s="27"/>
      <c r="H40" s="28"/>
      <c r="I40" s="27" t="s">
        <v>812</v>
      </c>
      <c r="J40" s="27"/>
      <c r="K40" s="27"/>
      <c r="L40" s="27"/>
      <c r="M40" s="27"/>
      <c r="N40" s="28"/>
      <c r="O40" s="23" t="n">
        <f aca="false">IF(I40="","",VALUE(LEFT(I40,1)))</f>
        <v>1</v>
      </c>
      <c r="P40" s="27"/>
    </row>
    <row r="41" customFormat="false" ht="35.05" hidden="false" customHeight="false" outlineLevel="0" collapsed="false">
      <c r="A41" s="26" t="s">
        <v>429</v>
      </c>
      <c r="B41" s="23" t="str">
        <f aca="false">IFERROR(INDEX('Chấm điểm'!$W$5:$W$101,MATCH(A41,'Chấm điểm'!$B$5:$B$101,0)),"")</f>
        <v>Đợt 2</v>
      </c>
      <c r="C41" s="23" t="n">
        <f aca="false">IFERROR(INDEX('Chấm điểm'!$V$5:$V$101,MATCH(A41,'Chấm điểm'!$B$5:$B$101,0)),"")</f>
        <v>67.2</v>
      </c>
      <c r="D41" s="27"/>
      <c r="E41" s="27"/>
      <c r="F41" s="27"/>
      <c r="G41" s="27"/>
      <c r="H41" s="28"/>
      <c r="I41" s="27" t="s">
        <v>812</v>
      </c>
      <c r="J41" s="27"/>
      <c r="K41" s="27"/>
      <c r="L41" s="27"/>
      <c r="M41" s="27"/>
      <c r="N41" s="28"/>
      <c r="O41" s="23" t="n">
        <f aca="false">IF(I41="","",VALUE(LEFT(I41,1)))</f>
        <v>1</v>
      </c>
      <c r="P41" s="27"/>
    </row>
    <row r="42" customFormat="false" ht="15" hidden="false" customHeight="false" outlineLevel="0" collapsed="false">
      <c r="A42" s="26" t="s">
        <v>430</v>
      </c>
      <c r="B42" s="23" t="str">
        <f aca="false">IFERROR(INDEX('Chấm điểm'!$W$5:$W$101,MATCH(A42,'Chấm điểm'!$B$5:$B$101,0)),"")</f>
        <v>Đợt 2</v>
      </c>
      <c r="C42" s="23" t="n">
        <f aca="false">IFERROR(INDEX('Chấm điểm'!$V$5:$V$101,MATCH(A42,'Chấm điểm'!$B$5:$B$101,0)),"")</f>
        <v>67</v>
      </c>
      <c r="D42" s="27"/>
      <c r="E42" s="27"/>
      <c r="F42" s="27"/>
      <c r="G42" s="27"/>
      <c r="H42" s="28"/>
      <c r="I42" s="27" t="s">
        <v>812</v>
      </c>
      <c r="J42" s="27"/>
      <c r="K42" s="27"/>
      <c r="L42" s="27"/>
      <c r="M42" s="27"/>
      <c r="N42" s="28"/>
      <c r="O42" s="23" t="n">
        <f aca="false">IF(I42="","",VALUE(LEFT(I42,1)))</f>
        <v>1</v>
      </c>
      <c r="P42" s="27"/>
    </row>
    <row r="43" customFormat="false" ht="15" hidden="false" customHeight="false" outlineLevel="0" collapsed="false">
      <c r="A43" s="26" t="s">
        <v>437</v>
      </c>
      <c r="B43" s="23" t="str">
        <f aca="false">IFERROR(INDEX('Chấm điểm'!$W$5:$W$101,MATCH(A43,'Chấm điểm'!$B$5:$B$101,0)),"")</f>
        <v>Đợt 2</v>
      </c>
      <c r="C43" s="23" t="n">
        <f aca="false">IFERROR(INDEX('Chấm điểm'!$V$5:$V$101,MATCH(A43,'Chấm điểm'!$B$5:$B$101,0)),"")</f>
        <v>67</v>
      </c>
      <c r="D43" s="27"/>
      <c r="E43" s="27"/>
      <c r="F43" s="27"/>
      <c r="G43" s="27"/>
      <c r="H43" s="28"/>
      <c r="I43" s="27" t="s">
        <v>812</v>
      </c>
      <c r="J43" s="27"/>
      <c r="K43" s="27"/>
      <c r="L43" s="27"/>
      <c r="M43" s="27"/>
      <c r="N43" s="28"/>
      <c r="O43" s="23" t="n">
        <f aca="false">IF(I43="","",VALUE(LEFT(I43,1)))</f>
        <v>1</v>
      </c>
      <c r="P43" s="27"/>
    </row>
    <row r="44" customFormat="false" ht="15" hidden="false" customHeight="false" outlineLevel="0" collapsed="false">
      <c r="A44" s="26" t="s">
        <v>445</v>
      </c>
      <c r="B44" s="23" t="str">
        <f aca="false">IFERROR(INDEX('Chấm điểm'!$W$5:$W$101,MATCH(A44,'Chấm điểm'!$B$5:$B$101,0)),"")</f>
        <v>Đợt 2</v>
      </c>
      <c r="C44" s="23" t="n">
        <f aca="false">IFERROR(INDEX('Chấm điểm'!$V$5:$V$101,MATCH(A44,'Chấm điểm'!$B$5:$B$101,0)),"")</f>
        <v>67</v>
      </c>
      <c r="D44" s="27"/>
      <c r="E44" s="27"/>
      <c r="F44" s="27"/>
      <c r="G44" s="27"/>
      <c r="H44" s="28"/>
      <c r="I44" s="27" t="s">
        <v>812</v>
      </c>
      <c r="J44" s="27"/>
      <c r="K44" s="27"/>
      <c r="L44" s="27"/>
      <c r="M44" s="27"/>
      <c r="N44" s="28"/>
      <c r="O44" s="23" t="n">
        <f aca="false">IF(I44="","",VALUE(LEFT(I44,1)))</f>
        <v>1</v>
      </c>
      <c r="P44" s="27"/>
    </row>
    <row r="45" customFormat="false" ht="23.85" hidden="false" customHeight="false" outlineLevel="0" collapsed="false">
      <c r="A45" s="26" t="s">
        <v>448</v>
      </c>
      <c r="B45" s="23" t="str">
        <f aca="false">IFERROR(INDEX('Chấm điểm'!$W$5:$W$101,MATCH(A45,'Chấm điểm'!$B$5:$B$101,0)),"")</f>
        <v>Đợt 2</v>
      </c>
      <c r="C45" s="23" t="n">
        <f aca="false">IFERROR(INDEX('Chấm điểm'!$V$5:$V$101,MATCH(A45,'Chấm điểm'!$B$5:$B$101,0)),"")</f>
        <v>66.8</v>
      </c>
      <c r="D45" s="27"/>
      <c r="E45" s="27"/>
      <c r="F45" s="27"/>
      <c r="G45" s="27"/>
      <c r="H45" s="28"/>
      <c r="I45" s="27" t="s">
        <v>812</v>
      </c>
      <c r="J45" s="27"/>
      <c r="K45" s="27"/>
      <c r="L45" s="27"/>
      <c r="M45" s="27"/>
      <c r="N45" s="28"/>
      <c r="O45" s="23" t="n">
        <f aca="false">IF(I45="","",VALUE(LEFT(I45,1)))</f>
        <v>1</v>
      </c>
      <c r="P45" s="27"/>
    </row>
    <row r="46" customFormat="false" ht="15" hidden="false" customHeight="false" outlineLevel="0" collapsed="false">
      <c r="A46" s="26" t="s">
        <v>455</v>
      </c>
      <c r="B46" s="23" t="str">
        <f aca="false">IFERROR(INDEX('Chấm điểm'!$W$5:$W$101,MATCH(A46,'Chấm điểm'!$B$5:$B$101,0)),"")</f>
        <v>Đợt 2</v>
      </c>
      <c r="C46" s="23" t="n">
        <f aca="false">IFERROR(INDEX('Chấm điểm'!$V$5:$V$101,MATCH(A46,'Chấm điểm'!$B$5:$B$101,0)),"")</f>
        <v>66.4</v>
      </c>
      <c r="D46" s="27"/>
      <c r="E46" s="27"/>
      <c r="F46" s="27"/>
      <c r="G46" s="27"/>
      <c r="H46" s="28"/>
      <c r="I46" s="27" t="s">
        <v>812</v>
      </c>
      <c r="J46" s="27"/>
      <c r="K46" s="27"/>
      <c r="L46" s="27"/>
      <c r="M46" s="27"/>
      <c r="N46" s="28"/>
      <c r="O46" s="23" t="n">
        <f aca="false">IF(I46="","",VALUE(LEFT(I46,1)))</f>
        <v>1</v>
      </c>
      <c r="P46" s="27"/>
    </row>
    <row r="47" customFormat="false" ht="15" hidden="false" customHeight="false" outlineLevel="0" collapsed="false">
      <c r="A47" s="26" t="s">
        <v>460</v>
      </c>
      <c r="B47" s="23" t="str">
        <f aca="false">IFERROR(INDEX('Chấm điểm'!$W$5:$W$101,MATCH(A47,'Chấm điểm'!$B$5:$B$101,0)),"")</f>
        <v>Đợt 2</v>
      </c>
      <c r="C47" s="23" t="n">
        <f aca="false">IFERROR(INDEX('Chấm điểm'!$V$5:$V$101,MATCH(A47,'Chấm điểm'!$B$5:$B$101,0)),"")</f>
        <v>66.4</v>
      </c>
      <c r="D47" s="27"/>
      <c r="E47" s="27"/>
      <c r="F47" s="27"/>
      <c r="G47" s="27"/>
      <c r="H47" s="28"/>
      <c r="I47" s="27" t="s">
        <v>812</v>
      </c>
      <c r="J47" s="27"/>
      <c r="K47" s="27"/>
      <c r="L47" s="27"/>
      <c r="M47" s="27"/>
      <c r="N47" s="28"/>
      <c r="O47" s="23" t="n">
        <f aca="false">IF(I47="","",VALUE(LEFT(I47,1)))</f>
        <v>1</v>
      </c>
      <c r="P47" s="27"/>
    </row>
    <row r="48" customFormat="false" ht="15" hidden="false" customHeight="false" outlineLevel="0" collapsed="false">
      <c r="A48" s="26" t="s">
        <v>464</v>
      </c>
      <c r="B48" s="23" t="str">
        <f aca="false">IFERROR(INDEX('Chấm điểm'!$W$5:$W$101,MATCH(A48,'Chấm điểm'!$B$5:$B$101,0)),"")</f>
        <v>Đợt 2</v>
      </c>
      <c r="C48" s="23" t="n">
        <f aca="false">IFERROR(INDEX('Chấm điểm'!$V$5:$V$101,MATCH(A48,'Chấm điểm'!$B$5:$B$101,0)),"")</f>
        <v>66.2</v>
      </c>
      <c r="D48" s="27"/>
      <c r="E48" s="27"/>
      <c r="F48" s="27"/>
      <c r="G48" s="27"/>
      <c r="H48" s="28"/>
      <c r="I48" s="27" t="s">
        <v>812</v>
      </c>
      <c r="J48" s="27"/>
      <c r="K48" s="27"/>
      <c r="L48" s="27"/>
      <c r="M48" s="27"/>
      <c r="N48" s="28"/>
      <c r="O48" s="23" t="n">
        <f aca="false">IF(I48="","",VALUE(LEFT(I48,1)))</f>
        <v>1</v>
      </c>
      <c r="P48" s="27"/>
    </row>
    <row r="49" customFormat="false" ht="15" hidden="false" customHeight="false" outlineLevel="0" collapsed="false">
      <c r="A49" s="26" t="s">
        <v>471</v>
      </c>
      <c r="B49" s="23" t="str">
        <f aca="false">IFERROR(INDEX('Chấm điểm'!$W$5:$W$101,MATCH(A49,'Chấm điểm'!$B$5:$B$101,0)),"")</f>
        <v>Đợt 2</v>
      </c>
      <c r="C49" s="23" t="n">
        <f aca="false">IFERROR(INDEX('Chấm điểm'!$V$5:$V$101,MATCH(A49,'Chấm điểm'!$B$5:$B$101,0)),"")</f>
        <v>66.2</v>
      </c>
      <c r="D49" s="27"/>
      <c r="E49" s="27"/>
      <c r="F49" s="27"/>
      <c r="G49" s="27"/>
      <c r="H49" s="28"/>
      <c r="I49" s="27" t="s">
        <v>812</v>
      </c>
      <c r="J49" s="27"/>
      <c r="K49" s="27"/>
      <c r="L49" s="27"/>
      <c r="M49" s="27"/>
      <c r="N49" s="28"/>
      <c r="O49" s="23" t="n">
        <f aca="false">IF(I49="","",VALUE(LEFT(I49,1)))</f>
        <v>1</v>
      </c>
      <c r="P49" s="27"/>
    </row>
    <row r="50" customFormat="false" ht="23.85" hidden="false" customHeight="false" outlineLevel="0" collapsed="false">
      <c r="A50" s="26" t="s">
        <v>474</v>
      </c>
      <c r="B50" s="23" t="str">
        <f aca="false">IFERROR(INDEX('Chấm điểm'!$W$5:$W$101,MATCH(A50,'Chấm điểm'!$B$5:$B$101,0)),"")</f>
        <v>Đợt 2</v>
      </c>
      <c r="C50" s="23" t="n">
        <f aca="false">IFERROR(INDEX('Chấm điểm'!$V$5:$V$101,MATCH(A50,'Chấm điểm'!$B$5:$B$101,0)),"")</f>
        <v>66.2</v>
      </c>
      <c r="D50" s="27"/>
      <c r="E50" s="27"/>
      <c r="F50" s="27"/>
      <c r="G50" s="27"/>
      <c r="H50" s="28"/>
      <c r="I50" s="27" t="s">
        <v>812</v>
      </c>
      <c r="J50" s="27"/>
      <c r="K50" s="27"/>
      <c r="L50" s="27"/>
      <c r="M50" s="27"/>
      <c r="N50" s="28"/>
      <c r="O50" s="23" t="n">
        <f aca="false">IF(I50="","",VALUE(LEFT(I50,1)))</f>
        <v>1</v>
      </c>
      <c r="P50" s="27"/>
    </row>
    <row r="51" customFormat="false" ht="23.85" hidden="false" customHeight="false" outlineLevel="0" collapsed="false">
      <c r="A51" s="26" t="s">
        <v>478</v>
      </c>
      <c r="B51" s="23" t="str">
        <f aca="false">IFERROR(INDEX('Chấm điểm'!$W$5:$W$101,MATCH(A51,'Chấm điểm'!$B$5:$B$101,0)),"")</f>
        <v>Đợt 2</v>
      </c>
      <c r="C51" s="23" t="n">
        <f aca="false">IFERROR(INDEX('Chấm điểm'!$V$5:$V$101,MATCH(A51,'Chấm điểm'!$B$5:$B$101,0)),"")</f>
        <v>66</v>
      </c>
      <c r="D51" s="27"/>
      <c r="E51" s="27"/>
      <c r="F51" s="27"/>
      <c r="G51" s="27"/>
      <c r="H51" s="28"/>
      <c r="I51" s="27" t="s">
        <v>812</v>
      </c>
      <c r="J51" s="27"/>
      <c r="K51" s="27"/>
      <c r="L51" s="27"/>
      <c r="M51" s="27"/>
      <c r="N51" s="28"/>
      <c r="O51" s="23" t="n">
        <f aca="false">IF(I51="","",VALUE(LEFT(I51,1)))</f>
        <v>1</v>
      </c>
      <c r="P51" s="27"/>
    </row>
    <row r="52" customFormat="false" ht="23.85" hidden="false" customHeight="false" outlineLevel="0" collapsed="false">
      <c r="A52" s="26" t="s">
        <v>480</v>
      </c>
      <c r="B52" s="23" t="str">
        <f aca="false">IFERROR(INDEX('Chấm điểm'!$W$5:$W$101,MATCH(A52,'Chấm điểm'!$B$5:$B$101,0)),"")</f>
        <v>Đợt 2</v>
      </c>
      <c r="C52" s="23" t="n">
        <f aca="false">IFERROR(INDEX('Chấm điểm'!$V$5:$V$101,MATCH(A52,'Chấm điểm'!$B$5:$B$101,0)),"")</f>
        <v>66</v>
      </c>
      <c r="D52" s="27"/>
      <c r="E52" s="27"/>
      <c r="F52" s="27"/>
      <c r="G52" s="27"/>
      <c r="H52" s="28"/>
      <c r="I52" s="27" t="s">
        <v>812</v>
      </c>
      <c r="J52" s="27"/>
      <c r="K52" s="27"/>
      <c r="L52" s="27"/>
      <c r="M52" s="27"/>
      <c r="N52" s="28"/>
      <c r="O52" s="23" t="n">
        <f aca="false">IF(I52="","",VALUE(LEFT(I52,1)))</f>
        <v>1</v>
      </c>
      <c r="P52" s="27"/>
    </row>
    <row r="53" customFormat="false" ht="23.85" hidden="false" customHeight="false" outlineLevel="0" collapsed="false">
      <c r="A53" s="26" t="s">
        <v>482</v>
      </c>
      <c r="B53" s="23" t="str">
        <f aca="false">IFERROR(INDEX('Chấm điểm'!$W$5:$W$101,MATCH(A53,'Chấm điểm'!$B$5:$B$101,0)),"")</f>
        <v>Đợt 2</v>
      </c>
      <c r="C53" s="23" t="n">
        <f aca="false">IFERROR(INDEX('Chấm điểm'!$V$5:$V$101,MATCH(A53,'Chấm điểm'!$B$5:$B$101,0)),"")</f>
        <v>66</v>
      </c>
      <c r="D53" s="27"/>
      <c r="E53" s="27"/>
      <c r="F53" s="27"/>
      <c r="G53" s="27"/>
      <c r="H53" s="28"/>
      <c r="I53" s="27" t="s">
        <v>812</v>
      </c>
      <c r="J53" s="27"/>
      <c r="K53" s="27"/>
      <c r="L53" s="27"/>
      <c r="M53" s="27"/>
      <c r="N53" s="28"/>
      <c r="O53" s="23" t="n">
        <f aca="false">IF(I53="","",VALUE(LEFT(I53,1)))</f>
        <v>1</v>
      </c>
      <c r="P53" s="27"/>
    </row>
    <row r="54" customFormat="false" ht="23.85" hidden="false" customHeight="false" outlineLevel="0" collapsed="false">
      <c r="A54" s="26" t="s">
        <v>483</v>
      </c>
      <c r="B54" s="23" t="str">
        <f aca="false">IFERROR(INDEX('Chấm điểm'!$W$5:$W$101,MATCH(A54,'Chấm điểm'!$B$5:$B$101,0)),"")</f>
        <v>Đợt 2</v>
      </c>
      <c r="C54" s="23" t="n">
        <f aca="false">IFERROR(INDEX('Chấm điểm'!$V$5:$V$101,MATCH(A54,'Chấm điểm'!$B$5:$B$101,0)),"")</f>
        <v>66</v>
      </c>
      <c r="D54" s="27"/>
      <c r="E54" s="27"/>
      <c r="F54" s="27"/>
      <c r="G54" s="27"/>
      <c r="H54" s="28"/>
      <c r="I54" s="27" t="s">
        <v>812</v>
      </c>
      <c r="J54" s="27"/>
      <c r="K54" s="27"/>
      <c r="L54" s="27"/>
      <c r="M54" s="27"/>
      <c r="N54" s="28"/>
      <c r="O54" s="23" t="n">
        <f aca="false">IF(I54="","",VALUE(LEFT(I54,1)))</f>
        <v>1</v>
      </c>
      <c r="P54" s="27"/>
    </row>
    <row r="55" customFormat="false" ht="15" hidden="false" customHeight="false" outlineLevel="0" collapsed="false">
      <c r="A55" s="26" t="s">
        <v>484</v>
      </c>
      <c r="B55" s="23" t="str">
        <f aca="false">IFERROR(INDEX('Chấm điểm'!$W$5:$W$101,MATCH(A55,'Chấm điểm'!$B$5:$B$101,0)),"")</f>
        <v>Đợt 2</v>
      </c>
      <c r="C55" s="23" t="n">
        <f aca="false">IFERROR(INDEX('Chấm điểm'!$V$5:$V$101,MATCH(A55,'Chấm điểm'!$B$5:$B$101,0)),"")</f>
        <v>65.8</v>
      </c>
      <c r="D55" s="27"/>
      <c r="E55" s="27"/>
      <c r="F55" s="27"/>
      <c r="G55" s="27"/>
      <c r="H55" s="28"/>
      <c r="I55" s="27" t="s">
        <v>812</v>
      </c>
      <c r="J55" s="27"/>
      <c r="K55" s="27"/>
      <c r="L55" s="27"/>
      <c r="M55" s="27"/>
      <c r="N55" s="28"/>
      <c r="O55" s="23" t="n">
        <f aca="false">IF(I55="","",VALUE(LEFT(I55,1)))</f>
        <v>1</v>
      </c>
      <c r="P55" s="27"/>
    </row>
    <row r="56" customFormat="false" ht="15" hidden="false" customHeight="false" outlineLevel="0" collapsed="false">
      <c r="A56" s="26" t="s">
        <v>488</v>
      </c>
      <c r="B56" s="23" t="str">
        <f aca="false">IFERROR(INDEX('Chấm điểm'!$W$5:$W$101,MATCH(A56,'Chấm điểm'!$B$5:$B$101,0)),"")</f>
        <v>Đợt 2</v>
      </c>
      <c r="C56" s="23" t="n">
        <f aca="false">IFERROR(INDEX('Chấm điểm'!$V$5:$V$101,MATCH(A56,'Chấm điểm'!$B$5:$B$101,0)),"")</f>
        <v>65.6</v>
      </c>
      <c r="D56" s="27"/>
      <c r="E56" s="27"/>
      <c r="F56" s="27"/>
      <c r="G56" s="27"/>
      <c r="H56" s="28"/>
      <c r="I56" s="27" t="s">
        <v>812</v>
      </c>
      <c r="J56" s="27"/>
      <c r="K56" s="27"/>
      <c r="L56" s="27"/>
      <c r="M56" s="27"/>
      <c r="N56" s="28"/>
      <c r="O56" s="23" t="n">
        <f aca="false">IF(I56="","",VALUE(LEFT(I56,1)))</f>
        <v>1</v>
      </c>
      <c r="P56" s="27"/>
    </row>
    <row r="57" customFormat="false" ht="15" hidden="false" customHeight="false" outlineLevel="0" collapsed="false">
      <c r="A57" s="26" t="s">
        <v>495</v>
      </c>
      <c r="B57" s="23" t="str">
        <f aca="false">IFERROR(INDEX('Chấm điểm'!$W$5:$W$101,MATCH(A57,'Chấm điểm'!$B$5:$B$101,0)),"")</f>
        <v>Đợt 2</v>
      </c>
      <c r="C57" s="23" t="n">
        <f aca="false">IFERROR(INDEX('Chấm điểm'!$V$5:$V$101,MATCH(A57,'Chấm điểm'!$B$5:$B$101,0)),"")</f>
        <v>65.2</v>
      </c>
      <c r="D57" s="27"/>
      <c r="E57" s="27"/>
      <c r="F57" s="27"/>
      <c r="G57" s="27"/>
      <c r="H57" s="28"/>
      <c r="I57" s="27" t="s">
        <v>812</v>
      </c>
      <c r="J57" s="27"/>
      <c r="K57" s="27"/>
      <c r="L57" s="27"/>
      <c r="M57" s="27"/>
      <c r="N57" s="28"/>
      <c r="O57" s="23" t="n">
        <f aca="false">IF(I57="","",VALUE(LEFT(I57,1)))</f>
        <v>1</v>
      </c>
      <c r="P57" s="27"/>
    </row>
    <row r="58" customFormat="false" ht="15" hidden="false" customHeight="false" outlineLevel="0" collapsed="false">
      <c r="A58" s="26"/>
      <c r="B58" s="23" t="str">
        <f aca="false">IFERROR(INDEX('Chấm điểm'!$W$5:$W$101,MATCH(A58,'Chấm điểm'!$B$5:$B$101,0)),"")</f>
        <v/>
      </c>
      <c r="C58" s="23" t="str">
        <f aca="false">IFERROR(INDEX('Chấm điểm'!$V$5:$V$101,MATCH(A58,'Chấm điểm'!$B$5:$B$101,0)),"")</f>
        <v/>
      </c>
      <c r="D58" s="27"/>
      <c r="E58" s="27"/>
      <c r="F58" s="27"/>
      <c r="G58" s="27"/>
      <c r="H58" s="28"/>
      <c r="I58" s="27"/>
      <c r="J58" s="27"/>
      <c r="K58" s="27"/>
      <c r="L58" s="27"/>
      <c r="M58" s="27"/>
      <c r="N58" s="28"/>
      <c r="O58" s="23" t="str">
        <f aca="false">IF(I58="","",VALUE(LEFT(I58,1)))</f>
        <v/>
      </c>
      <c r="P58" s="27"/>
    </row>
    <row r="59" customFormat="false" ht="15" hidden="false" customHeight="false" outlineLevel="0" collapsed="false">
      <c r="A59" s="26"/>
      <c r="B59" s="23" t="str">
        <f aca="false">IFERROR(INDEX('Chấm điểm'!$W$5:$W$101,MATCH(A59,'Chấm điểm'!$B$5:$B$101,0)),"")</f>
        <v/>
      </c>
      <c r="C59" s="23" t="str">
        <f aca="false">IFERROR(INDEX('Chấm điểm'!$V$5:$V$101,MATCH(A59,'Chấm điểm'!$B$5:$B$101,0)),"")</f>
        <v/>
      </c>
      <c r="D59" s="27"/>
      <c r="E59" s="27"/>
      <c r="F59" s="27"/>
      <c r="G59" s="27"/>
      <c r="H59" s="28"/>
      <c r="I59" s="27"/>
      <c r="J59" s="27"/>
      <c r="K59" s="27"/>
      <c r="L59" s="27"/>
      <c r="M59" s="27"/>
      <c r="N59" s="28"/>
      <c r="O59" s="23" t="str">
        <f aca="false">IF(I59="","",VALUE(LEFT(I59,1)))</f>
        <v/>
      </c>
      <c r="P59" s="27"/>
    </row>
    <row r="60" customFormat="false" ht="15" hidden="false" customHeight="false" outlineLevel="0" collapsed="false">
      <c r="A60" s="26"/>
      <c r="B60" s="23" t="str">
        <f aca="false">IFERROR(INDEX('Chấm điểm'!$W$5:$W$101,MATCH(A60,'Chấm điểm'!$B$5:$B$101,0)),"")</f>
        <v/>
      </c>
      <c r="C60" s="23" t="str">
        <f aca="false">IFERROR(INDEX('Chấm điểm'!$V$5:$V$101,MATCH(A60,'Chấm điểm'!$B$5:$B$101,0)),"")</f>
        <v/>
      </c>
      <c r="D60" s="27"/>
      <c r="E60" s="27"/>
      <c r="F60" s="27"/>
      <c r="G60" s="27"/>
      <c r="H60" s="28"/>
      <c r="I60" s="27"/>
      <c r="J60" s="27"/>
      <c r="K60" s="27"/>
      <c r="L60" s="27"/>
      <c r="M60" s="27"/>
      <c r="N60" s="28"/>
      <c r="O60" s="23" t="str">
        <f aca="false">IF(I60="","",VALUE(LEFT(I60,1)))</f>
        <v/>
      </c>
      <c r="P60" s="27"/>
    </row>
    <row r="61" customFormat="false" ht="15" hidden="false" customHeight="false" outlineLevel="0" collapsed="false">
      <c r="A61" s="26"/>
      <c r="B61" s="23" t="str">
        <f aca="false">IFERROR(INDEX('Chấm điểm'!$W$5:$W$101,MATCH(A61,'Chấm điểm'!$B$5:$B$101,0)),"")</f>
        <v/>
      </c>
      <c r="C61" s="23" t="str">
        <f aca="false">IFERROR(INDEX('Chấm điểm'!$V$5:$V$101,MATCH(A61,'Chấm điểm'!$B$5:$B$101,0)),"")</f>
        <v/>
      </c>
      <c r="D61" s="27"/>
      <c r="E61" s="27"/>
      <c r="F61" s="27"/>
      <c r="G61" s="27"/>
      <c r="H61" s="28"/>
      <c r="I61" s="27"/>
      <c r="J61" s="27"/>
      <c r="K61" s="27"/>
      <c r="L61" s="27"/>
      <c r="M61" s="27"/>
      <c r="N61" s="28"/>
      <c r="O61" s="23" t="str">
        <f aca="false">IF(I61="","",VALUE(LEFT(I61,1)))</f>
        <v/>
      </c>
      <c r="P61" s="27"/>
    </row>
    <row r="62" customFormat="false" ht="15" hidden="false" customHeight="false" outlineLevel="0" collapsed="false">
      <c r="A62" s="26"/>
      <c r="B62" s="23" t="str">
        <f aca="false">IFERROR(INDEX('Chấm điểm'!$W$5:$W$101,MATCH(A62,'Chấm điểm'!$B$5:$B$101,0)),"")</f>
        <v/>
      </c>
      <c r="C62" s="23" t="str">
        <f aca="false">IFERROR(INDEX('Chấm điểm'!$V$5:$V$101,MATCH(A62,'Chấm điểm'!$B$5:$B$101,0)),"")</f>
        <v/>
      </c>
      <c r="D62" s="27"/>
      <c r="E62" s="27"/>
      <c r="F62" s="27"/>
      <c r="G62" s="27"/>
      <c r="H62" s="28"/>
      <c r="I62" s="27"/>
      <c r="J62" s="27"/>
      <c r="K62" s="27"/>
      <c r="L62" s="27"/>
      <c r="M62" s="27"/>
      <c r="N62" s="28"/>
      <c r="O62" s="23" t="str">
        <f aca="false">IF(I62="","",VALUE(LEFT(I62,1)))</f>
        <v/>
      </c>
      <c r="P62" s="27"/>
    </row>
    <row r="63" customFormat="false" ht="15" hidden="false" customHeight="false" outlineLevel="0" collapsed="false">
      <c r="A63" s="26"/>
      <c r="B63" s="23" t="str">
        <f aca="false">IFERROR(INDEX('Chấm điểm'!$W$5:$W$101,MATCH(A63,'Chấm điểm'!$B$5:$B$101,0)),"")</f>
        <v/>
      </c>
      <c r="C63" s="23" t="str">
        <f aca="false">IFERROR(INDEX('Chấm điểm'!$V$5:$V$101,MATCH(A63,'Chấm điểm'!$B$5:$B$101,0)),"")</f>
        <v/>
      </c>
      <c r="D63" s="27"/>
      <c r="E63" s="27"/>
      <c r="F63" s="27"/>
      <c r="G63" s="27"/>
      <c r="H63" s="28"/>
      <c r="I63" s="27"/>
      <c r="J63" s="27"/>
      <c r="K63" s="27"/>
      <c r="L63" s="27"/>
      <c r="M63" s="27"/>
      <c r="N63" s="28"/>
      <c r="O63" s="23" t="str">
        <f aca="false">IF(I63="","",VALUE(LEFT(I63,1)))</f>
        <v/>
      </c>
      <c r="P63" s="27"/>
    </row>
    <row r="64" customFormat="false" ht="15" hidden="false" customHeight="false" outlineLevel="0" collapsed="false">
      <c r="A64" s="26"/>
      <c r="B64" s="23" t="str">
        <f aca="false">IFERROR(INDEX('Chấm điểm'!$W$5:$W$101,MATCH(A64,'Chấm điểm'!$B$5:$B$101,0)),"")</f>
        <v/>
      </c>
      <c r="C64" s="23" t="str">
        <f aca="false">IFERROR(INDEX('Chấm điểm'!$V$5:$V$101,MATCH(A64,'Chấm điểm'!$B$5:$B$101,0)),"")</f>
        <v/>
      </c>
      <c r="D64" s="27"/>
      <c r="E64" s="27"/>
      <c r="F64" s="27"/>
      <c r="G64" s="27"/>
      <c r="H64" s="28"/>
      <c r="I64" s="27"/>
      <c r="J64" s="27"/>
      <c r="K64" s="27"/>
      <c r="L64" s="27"/>
      <c r="M64" s="27"/>
      <c r="N64" s="28"/>
      <c r="O64" s="23" t="str">
        <f aca="false">IF(I64="","",VALUE(LEFT(I64,1)))</f>
        <v/>
      </c>
      <c r="P64" s="27"/>
    </row>
    <row r="65" customFormat="false" ht="15" hidden="false" customHeight="false" outlineLevel="0" collapsed="false">
      <c r="A65" s="26"/>
      <c r="B65" s="23" t="str">
        <f aca="false">IFERROR(INDEX('Chấm điểm'!$W$5:$W$101,MATCH(A65,'Chấm điểm'!$B$5:$B$101,0)),"")</f>
        <v/>
      </c>
      <c r="C65" s="23" t="str">
        <f aca="false">IFERROR(INDEX('Chấm điểm'!$V$5:$V$101,MATCH(A65,'Chấm điểm'!$B$5:$B$101,0)),"")</f>
        <v/>
      </c>
      <c r="D65" s="27"/>
      <c r="E65" s="27"/>
      <c r="F65" s="27"/>
      <c r="G65" s="27"/>
      <c r="H65" s="28"/>
      <c r="I65" s="27"/>
      <c r="J65" s="27"/>
      <c r="K65" s="27"/>
      <c r="L65" s="27"/>
      <c r="M65" s="27"/>
      <c r="N65" s="28"/>
      <c r="O65" s="23" t="str">
        <f aca="false">IF(I65="","",VALUE(LEFT(I65,1)))</f>
        <v/>
      </c>
      <c r="P65" s="27"/>
    </row>
    <row r="66" customFormat="false" ht="15" hidden="false" customHeight="false" outlineLevel="0" collapsed="false">
      <c r="A66" s="26"/>
      <c r="B66" s="23" t="str">
        <f aca="false">IFERROR(INDEX('Chấm điểm'!$W$5:$W$101,MATCH(A66,'Chấm điểm'!$B$5:$B$101,0)),"")</f>
        <v/>
      </c>
      <c r="C66" s="23" t="str">
        <f aca="false">IFERROR(INDEX('Chấm điểm'!$V$5:$V$101,MATCH(A66,'Chấm điểm'!$B$5:$B$101,0)),"")</f>
        <v/>
      </c>
      <c r="D66" s="27"/>
      <c r="E66" s="27"/>
      <c r="F66" s="27"/>
      <c r="G66" s="27"/>
      <c r="H66" s="28"/>
      <c r="I66" s="27"/>
      <c r="J66" s="27"/>
      <c r="K66" s="27"/>
      <c r="L66" s="27"/>
      <c r="M66" s="27"/>
      <c r="N66" s="28"/>
      <c r="O66" s="23" t="str">
        <f aca="false">IF(I66="","",VALUE(LEFT(I66,1)))</f>
        <v/>
      </c>
      <c r="P66" s="27"/>
    </row>
    <row r="67" customFormat="false" ht="15" hidden="false" customHeight="false" outlineLevel="0" collapsed="false">
      <c r="A67" s="26"/>
      <c r="B67" s="23" t="str">
        <f aca="false">IFERROR(INDEX('Chấm điểm'!$W$5:$W$101,MATCH(A67,'Chấm điểm'!$B$5:$B$101,0)),"")</f>
        <v/>
      </c>
      <c r="C67" s="23" t="str">
        <f aca="false">IFERROR(INDEX('Chấm điểm'!$V$5:$V$101,MATCH(A67,'Chấm điểm'!$B$5:$B$101,0)),"")</f>
        <v/>
      </c>
      <c r="D67" s="27"/>
      <c r="E67" s="27"/>
      <c r="F67" s="27"/>
      <c r="G67" s="27"/>
      <c r="H67" s="28"/>
      <c r="I67" s="27"/>
      <c r="J67" s="27"/>
      <c r="K67" s="27"/>
      <c r="L67" s="27"/>
      <c r="M67" s="27"/>
      <c r="N67" s="28"/>
      <c r="O67" s="23" t="str">
        <f aca="false">IF(I67="","",VALUE(LEFT(I67,1)))</f>
        <v/>
      </c>
      <c r="P67" s="27"/>
    </row>
    <row r="68" customFormat="false" ht="15" hidden="false" customHeight="false" outlineLevel="0" collapsed="false">
      <c r="A68" s="26"/>
      <c r="B68" s="23" t="str">
        <f aca="false">IFERROR(INDEX('Chấm điểm'!$W$5:$W$101,MATCH(A68,'Chấm điểm'!$B$5:$B$101,0)),"")</f>
        <v/>
      </c>
      <c r="C68" s="23" t="str">
        <f aca="false">IFERROR(INDEX('Chấm điểm'!$V$5:$V$101,MATCH(A68,'Chấm điểm'!$B$5:$B$101,0)),"")</f>
        <v/>
      </c>
      <c r="D68" s="27"/>
      <c r="E68" s="27"/>
      <c r="F68" s="27"/>
      <c r="G68" s="27"/>
      <c r="H68" s="28"/>
      <c r="I68" s="27"/>
      <c r="J68" s="27"/>
      <c r="K68" s="27"/>
      <c r="L68" s="27"/>
      <c r="M68" s="27"/>
      <c r="N68" s="28"/>
      <c r="O68" s="23" t="str">
        <f aca="false">IF(I68="","",VALUE(LEFT(I68,1)))</f>
        <v/>
      </c>
      <c r="P68" s="27"/>
    </row>
    <row r="69" customFormat="false" ht="15" hidden="false" customHeight="false" outlineLevel="0" collapsed="false">
      <c r="A69" s="26"/>
      <c r="B69" s="23" t="str">
        <f aca="false">IFERROR(INDEX('Chấm điểm'!$W$5:$W$101,MATCH(A69,'Chấm điểm'!$B$5:$B$101,0)),"")</f>
        <v/>
      </c>
      <c r="C69" s="23" t="str">
        <f aca="false">IFERROR(INDEX('Chấm điểm'!$V$5:$V$101,MATCH(A69,'Chấm điểm'!$B$5:$B$101,0)),"")</f>
        <v/>
      </c>
      <c r="D69" s="27"/>
      <c r="E69" s="27"/>
      <c r="F69" s="27"/>
      <c r="G69" s="27"/>
      <c r="H69" s="28"/>
      <c r="I69" s="27"/>
      <c r="J69" s="27"/>
      <c r="K69" s="27"/>
      <c r="L69" s="27"/>
      <c r="M69" s="27"/>
      <c r="N69" s="28"/>
      <c r="O69" s="23" t="str">
        <f aca="false">IF(I69="","",VALUE(LEFT(I69,1)))</f>
        <v/>
      </c>
      <c r="P69" s="27"/>
    </row>
    <row r="70" customFormat="false" ht="15" hidden="false" customHeight="false" outlineLevel="0" collapsed="false">
      <c r="A70" s="26"/>
      <c r="B70" s="23" t="str">
        <f aca="false">IFERROR(INDEX('Chấm điểm'!$W$5:$W$101,MATCH(A70,'Chấm điểm'!$B$5:$B$101,0)),"")</f>
        <v/>
      </c>
      <c r="C70" s="23" t="str">
        <f aca="false">IFERROR(INDEX('Chấm điểm'!$V$5:$V$101,MATCH(A70,'Chấm điểm'!$B$5:$B$101,0)),"")</f>
        <v/>
      </c>
      <c r="D70" s="27"/>
      <c r="E70" s="27"/>
      <c r="F70" s="27"/>
      <c r="G70" s="27"/>
      <c r="H70" s="28"/>
      <c r="I70" s="27"/>
      <c r="J70" s="27"/>
      <c r="K70" s="27"/>
      <c r="L70" s="27"/>
      <c r="M70" s="27"/>
      <c r="N70" s="28"/>
      <c r="O70" s="23" t="str">
        <f aca="false">IF(I70="","",VALUE(LEFT(I70,1)))</f>
        <v/>
      </c>
      <c r="P70" s="27"/>
    </row>
    <row r="71" customFormat="false" ht="15" hidden="false" customHeight="false" outlineLevel="0" collapsed="false">
      <c r="A71" s="26"/>
      <c r="B71" s="23" t="str">
        <f aca="false">IFERROR(INDEX('Chấm điểm'!$W$5:$W$101,MATCH(A71,'Chấm điểm'!$B$5:$B$101,0)),"")</f>
        <v/>
      </c>
      <c r="C71" s="23" t="str">
        <f aca="false">IFERROR(INDEX('Chấm điểm'!$V$5:$V$101,MATCH(A71,'Chấm điểm'!$B$5:$B$101,0)),"")</f>
        <v/>
      </c>
      <c r="D71" s="27"/>
      <c r="E71" s="27"/>
      <c r="F71" s="27"/>
      <c r="G71" s="27"/>
      <c r="H71" s="28"/>
      <c r="I71" s="27"/>
      <c r="J71" s="27"/>
      <c r="K71" s="27"/>
      <c r="L71" s="27"/>
      <c r="M71" s="27"/>
      <c r="N71" s="28"/>
      <c r="O71" s="23" t="str">
        <f aca="false">IF(I71="","",VALUE(LEFT(I71,1)))</f>
        <v/>
      </c>
      <c r="P71" s="27"/>
    </row>
    <row r="72" customFormat="false" ht="15" hidden="false" customHeight="false" outlineLevel="0" collapsed="false">
      <c r="A72" s="26"/>
      <c r="B72" s="23" t="str">
        <f aca="false">IFERROR(INDEX('Chấm điểm'!$W$5:$W$101,MATCH(A72,'Chấm điểm'!$B$5:$B$101,0)),"")</f>
        <v/>
      </c>
      <c r="C72" s="23" t="str">
        <f aca="false">IFERROR(INDEX('Chấm điểm'!$V$5:$V$101,MATCH(A72,'Chấm điểm'!$B$5:$B$101,0)),"")</f>
        <v/>
      </c>
      <c r="D72" s="27"/>
      <c r="E72" s="27"/>
      <c r="F72" s="27"/>
      <c r="G72" s="27"/>
      <c r="H72" s="28"/>
      <c r="I72" s="27"/>
      <c r="J72" s="27"/>
      <c r="K72" s="27"/>
      <c r="L72" s="27"/>
      <c r="M72" s="27"/>
      <c r="N72" s="28"/>
      <c r="O72" s="23" t="str">
        <f aca="false">IF(I72="","",VALUE(LEFT(I72,1)))</f>
        <v/>
      </c>
      <c r="P72" s="27"/>
    </row>
    <row r="73" customFormat="false" ht="15" hidden="false" customHeight="false" outlineLevel="0" collapsed="false">
      <c r="A73" s="26"/>
      <c r="B73" s="23" t="str">
        <f aca="false">IFERROR(INDEX('Chấm điểm'!$W$5:$W$101,MATCH(A73,'Chấm điểm'!$B$5:$B$101,0)),"")</f>
        <v/>
      </c>
      <c r="C73" s="23" t="str">
        <f aca="false">IFERROR(INDEX('Chấm điểm'!$V$5:$V$101,MATCH(A73,'Chấm điểm'!$B$5:$B$101,0)),"")</f>
        <v/>
      </c>
      <c r="D73" s="27"/>
      <c r="E73" s="27"/>
      <c r="F73" s="27"/>
      <c r="G73" s="27"/>
      <c r="H73" s="28"/>
      <c r="I73" s="27"/>
      <c r="J73" s="27"/>
      <c r="K73" s="27"/>
      <c r="L73" s="27"/>
      <c r="M73" s="27"/>
      <c r="N73" s="28"/>
      <c r="O73" s="23" t="str">
        <f aca="false">IF(I73="","",VALUE(LEFT(I73,1)))</f>
        <v/>
      </c>
      <c r="P73" s="27"/>
    </row>
    <row r="74" customFormat="false" ht="15" hidden="false" customHeight="false" outlineLevel="0" collapsed="false">
      <c r="A74" s="26"/>
      <c r="B74" s="23" t="str">
        <f aca="false">IFERROR(INDEX('Chấm điểm'!$W$5:$W$101,MATCH(A74,'Chấm điểm'!$B$5:$B$101,0)),"")</f>
        <v/>
      </c>
      <c r="C74" s="23" t="str">
        <f aca="false">IFERROR(INDEX('Chấm điểm'!$V$5:$V$101,MATCH(A74,'Chấm điểm'!$B$5:$B$101,0)),"")</f>
        <v/>
      </c>
      <c r="D74" s="27"/>
      <c r="E74" s="27"/>
      <c r="F74" s="27"/>
      <c r="G74" s="27"/>
      <c r="H74" s="28"/>
      <c r="I74" s="27"/>
      <c r="J74" s="27"/>
      <c r="K74" s="27"/>
      <c r="L74" s="27"/>
      <c r="M74" s="27"/>
      <c r="N74" s="28"/>
      <c r="O74" s="23" t="str">
        <f aca="false">IF(I74="","",VALUE(LEFT(I74,1)))</f>
        <v/>
      </c>
      <c r="P74" s="27"/>
    </row>
    <row r="75" customFormat="false" ht="15" hidden="false" customHeight="false" outlineLevel="0" collapsed="false">
      <c r="A75" s="26"/>
      <c r="B75" s="23" t="str">
        <f aca="false">IFERROR(INDEX('Chấm điểm'!$W$5:$W$101,MATCH(A75,'Chấm điểm'!$B$5:$B$101,0)),"")</f>
        <v/>
      </c>
      <c r="C75" s="23" t="str">
        <f aca="false">IFERROR(INDEX('Chấm điểm'!$V$5:$V$101,MATCH(A75,'Chấm điểm'!$B$5:$B$101,0)),"")</f>
        <v/>
      </c>
      <c r="D75" s="27"/>
      <c r="E75" s="27"/>
      <c r="F75" s="27"/>
      <c r="G75" s="27"/>
      <c r="H75" s="28"/>
      <c r="I75" s="27"/>
      <c r="J75" s="27"/>
      <c r="K75" s="27"/>
      <c r="L75" s="27"/>
      <c r="M75" s="27"/>
      <c r="N75" s="28"/>
      <c r="O75" s="23" t="str">
        <f aca="false">IF(I75="","",VALUE(LEFT(I75,1)))</f>
        <v/>
      </c>
      <c r="P75" s="27"/>
    </row>
    <row r="76" customFormat="false" ht="15" hidden="false" customHeight="false" outlineLevel="0" collapsed="false">
      <c r="A76" s="26"/>
      <c r="B76" s="23" t="str">
        <f aca="false">IFERROR(INDEX('Chấm điểm'!$W$5:$W$101,MATCH(A76,'Chấm điểm'!$B$5:$B$101,0)),"")</f>
        <v/>
      </c>
      <c r="C76" s="23" t="str">
        <f aca="false">IFERROR(INDEX('Chấm điểm'!$V$5:$V$101,MATCH(A76,'Chấm điểm'!$B$5:$B$101,0)),"")</f>
        <v/>
      </c>
      <c r="D76" s="27"/>
      <c r="E76" s="27"/>
      <c r="F76" s="27"/>
      <c r="G76" s="27"/>
      <c r="H76" s="28"/>
      <c r="I76" s="27"/>
      <c r="J76" s="27"/>
      <c r="K76" s="27"/>
      <c r="L76" s="27"/>
      <c r="M76" s="27"/>
      <c r="N76" s="28"/>
      <c r="O76" s="23" t="str">
        <f aca="false">IF(I76="","",VALUE(LEFT(I76,1)))</f>
        <v/>
      </c>
      <c r="P76" s="27"/>
    </row>
    <row r="77" customFormat="false" ht="15" hidden="false" customHeight="false" outlineLevel="0" collapsed="false">
      <c r="A77" s="26"/>
      <c r="B77" s="23" t="str">
        <f aca="false">IFERROR(INDEX('Chấm điểm'!$W$5:$W$101,MATCH(A77,'Chấm điểm'!$B$5:$B$101,0)),"")</f>
        <v/>
      </c>
      <c r="C77" s="23" t="str">
        <f aca="false">IFERROR(INDEX('Chấm điểm'!$V$5:$V$101,MATCH(A77,'Chấm điểm'!$B$5:$B$101,0)),"")</f>
        <v/>
      </c>
      <c r="D77" s="27"/>
      <c r="E77" s="27"/>
      <c r="F77" s="27"/>
      <c r="G77" s="27"/>
      <c r="H77" s="28"/>
      <c r="I77" s="27"/>
      <c r="J77" s="27"/>
      <c r="K77" s="27"/>
      <c r="L77" s="27"/>
      <c r="M77" s="27"/>
      <c r="N77" s="28"/>
      <c r="O77" s="23" t="str">
        <f aca="false">IF(I77="","",VALUE(LEFT(I77,1)))</f>
        <v/>
      </c>
      <c r="P77" s="27"/>
    </row>
    <row r="78" customFormat="false" ht="15" hidden="false" customHeight="false" outlineLevel="0" collapsed="false">
      <c r="A78" s="26"/>
      <c r="B78" s="23" t="str">
        <f aca="false">IFERROR(INDEX('Chấm điểm'!$W$5:$W$101,MATCH(A78,'Chấm điểm'!$B$5:$B$101,0)),"")</f>
        <v/>
      </c>
      <c r="C78" s="23" t="str">
        <f aca="false">IFERROR(INDEX('Chấm điểm'!$V$5:$V$101,MATCH(A78,'Chấm điểm'!$B$5:$B$101,0)),"")</f>
        <v/>
      </c>
      <c r="D78" s="27"/>
      <c r="E78" s="27"/>
      <c r="F78" s="27"/>
      <c r="G78" s="27"/>
      <c r="H78" s="28"/>
      <c r="I78" s="27"/>
      <c r="J78" s="27"/>
      <c r="K78" s="27"/>
      <c r="L78" s="27"/>
      <c r="M78" s="27"/>
      <c r="N78" s="28"/>
      <c r="O78" s="23" t="str">
        <f aca="false">IF(I78="","",VALUE(LEFT(I78,1)))</f>
        <v/>
      </c>
      <c r="P78" s="27"/>
    </row>
    <row r="79" customFormat="false" ht="15" hidden="false" customHeight="false" outlineLevel="0" collapsed="false">
      <c r="A79" s="26"/>
      <c r="B79" s="23" t="str">
        <f aca="false">IFERROR(INDEX('Chấm điểm'!$W$5:$W$101,MATCH(A79,'Chấm điểm'!$B$5:$B$101,0)),"")</f>
        <v/>
      </c>
      <c r="C79" s="23" t="str">
        <f aca="false">IFERROR(INDEX('Chấm điểm'!$V$5:$V$101,MATCH(A79,'Chấm điểm'!$B$5:$B$101,0)),"")</f>
        <v/>
      </c>
      <c r="D79" s="27"/>
      <c r="E79" s="27"/>
      <c r="F79" s="27"/>
      <c r="G79" s="27"/>
      <c r="H79" s="28"/>
      <c r="I79" s="27"/>
      <c r="J79" s="27"/>
      <c r="K79" s="27"/>
      <c r="L79" s="27"/>
      <c r="M79" s="27"/>
      <c r="N79" s="28"/>
      <c r="O79" s="23" t="str">
        <f aca="false">IF(I79="","",VALUE(LEFT(I79,1)))</f>
        <v/>
      </c>
      <c r="P79" s="27"/>
    </row>
    <row r="80" customFormat="false" ht="15" hidden="false" customHeight="false" outlineLevel="0" collapsed="false">
      <c r="A80" s="26"/>
      <c r="B80" s="23" t="str">
        <f aca="false">IFERROR(INDEX('Chấm điểm'!$W$5:$W$101,MATCH(A80,'Chấm điểm'!$B$5:$B$101,0)),"")</f>
        <v/>
      </c>
      <c r="C80" s="23" t="str">
        <f aca="false">IFERROR(INDEX('Chấm điểm'!$V$5:$V$101,MATCH(A80,'Chấm điểm'!$B$5:$B$101,0)),"")</f>
        <v/>
      </c>
      <c r="D80" s="27"/>
      <c r="E80" s="27"/>
      <c r="F80" s="27"/>
      <c r="G80" s="27"/>
      <c r="H80" s="28"/>
      <c r="I80" s="27"/>
      <c r="J80" s="27"/>
      <c r="K80" s="27"/>
      <c r="L80" s="27"/>
      <c r="M80" s="27"/>
      <c r="N80" s="28"/>
      <c r="O80" s="23" t="str">
        <f aca="false">IF(I80="","",VALUE(LEFT(I80,1)))</f>
        <v/>
      </c>
      <c r="P80" s="27"/>
    </row>
    <row r="81" customFormat="false" ht="15" hidden="false" customHeight="false" outlineLevel="0" collapsed="false">
      <c r="A81" s="26"/>
      <c r="B81" s="23" t="str">
        <f aca="false">IFERROR(INDEX('Chấm điểm'!$W$5:$W$101,MATCH(A81,'Chấm điểm'!$B$5:$B$101,0)),"")</f>
        <v/>
      </c>
      <c r="C81" s="23" t="str">
        <f aca="false">IFERROR(INDEX('Chấm điểm'!$V$5:$V$101,MATCH(A81,'Chấm điểm'!$B$5:$B$101,0)),"")</f>
        <v/>
      </c>
      <c r="D81" s="27"/>
      <c r="E81" s="27"/>
      <c r="F81" s="27"/>
      <c r="G81" s="27"/>
      <c r="H81" s="28"/>
      <c r="I81" s="27"/>
      <c r="J81" s="27"/>
      <c r="K81" s="27"/>
      <c r="L81" s="27"/>
      <c r="M81" s="27"/>
      <c r="N81" s="28"/>
      <c r="O81" s="23" t="str">
        <f aca="false">IF(I81="","",VALUE(LEFT(I81,1)))</f>
        <v/>
      </c>
      <c r="P81" s="27"/>
    </row>
    <row r="82" customFormat="false" ht="15" hidden="false" customHeight="false" outlineLevel="0" collapsed="false">
      <c r="A82" s="26"/>
      <c r="B82" s="23" t="str">
        <f aca="false">IFERROR(INDEX('Chấm điểm'!$W$5:$W$101,MATCH(A82,'Chấm điểm'!$B$5:$B$101,0)),"")</f>
        <v/>
      </c>
      <c r="C82" s="23" t="str">
        <f aca="false">IFERROR(INDEX('Chấm điểm'!$V$5:$V$101,MATCH(A82,'Chấm điểm'!$B$5:$B$101,0)),"")</f>
        <v/>
      </c>
      <c r="D82" s="27"/>
      <c r="E82" s="27"/>
      <c r="F82" s="27"/>
      <c r="G82" s="27"/>
      <c r="H82" s="28"/>
      <c r="I82" s="27"/>
      <c r="J82" s="27"/>
      <c r="K82" s="27"/>
      <c r="L82" s="27"/>
      <c r="M82" s="27"/>
      <c r="N82" s="28"/>
      <c r="O82" s="23" t="str">
        <f aca="false">IF(I82="","",VALUE(LEFT(I82,1)))</f>
        <v/>
      </c>
      <c r="P82" s="27"/>
    </row>
    <row r="83" customFormat="false" ht="15" hidden="false" customHeight="false" outlineLevel="0" collapsed="false">
      <c r="A83" s="26"/>
      <c r="B83" s="23" t="str">
        <f aca="false">IFERROR(INDEX('Chấm điểm'!$W$5:$W$101,MATCH(A83,'Chấm điểm'!$B$5:$B$101,0)),"")</f>
        <v/>
      </c>
      <c r="C83" s="23" t="str">
        <f aca="false">IFERROR(INDEX('Chấm điểm'!$V$5:$V$101,MATCH(A83,'Chấm điểm'!$B$5:$B$101,0)),"")</f>
        <v/>
      </c>
      <c r="D83" s="27"/>
      <c r="E83" s="27"/>
      <c r="F83" s="27"/>
      <c r="G83" s="27"/>
      <c r="H83" s="28"/>
      <c r="I83" s="27"/>
      <c r="J83" s="27"/>
      <c r="K83" s="27"/>
      <c r="L83" s="27"/>
      <c r="M83" s="27"/>
      <c r="N83" s="28"/>
      <c r="O83" s="23" t="str">
        <f aca="false">IF(I83="","",VALUE(LEFT(I83,1)))</f>
        <v/>
      </c>
      <c r="P83" s="27"/>
    </row>
    <row r="84" customFormat="false" ht="15" hidden="false" customHeight="false" outlineLevel="0" collapsed="false">
      <c r="A84" s="26"/>
      <c r="B84" s="23" t="str">
        <f aca="false">IFERROR(INDEX('Chấm điểm'!$W$5:$W$101,MATCH(A84,'Chấm điểm'!$B$5:$B$101,0)),"")</f>
        <v/>
      </c>
      <c r="C84" s="23" t="str">
        <f aca="false">IFERROR(INDEX('Chấm điểm'!$V$5:$V$101,MATCH(A84,'Chấm điểm'!$B$5:$B$101,0)),"")</f>
        <v/>
      </c>
      <c r="D84" s="27"/>
      <c r="E84" s="27"/>
      <c r="F84" s="27"/>
      <c r="G84" s="27"/>
      <c r="H84" s="28"/>
      <c r="I84" s="27"/>
      <c r="J84" s="27"/>
      <c r="K84" s="27"/>
      <c r="L84" s="27"/>
      <c r="M84" s="27"/>
      <c r="N84" s="28"/>
      <c r="O84" s="23" t="str">
        <f aca="false">IF(I84="","",VALUE(LEFT(I84,1)))</f>
        <v/>
      </c>
      <c r="P84" s="27"/>
    </row>
    <row r="85" customFormat="false" ht="15" hidden="false" customHeight="false" outlineLevel="0" collapsed="false">
      <c r="A85" s="26"/>
      <c r="B85" s="23" t="str">
        <f aca="false">IFERROR(INDEX('Chấm điểm'!$W$5:$W$101,MATCH(A85,'Chấm điểm'!$B$5:$B$101,0)),"")</f>
        <v/>
      </c>
      <c r="C85" s="23" t="str">
        <f aca="false">IFERROR(INDEX('Chấm điểm'!$V$5:$V$101,MATCH(A85,'Chấm điểm'!$B$5:$B$101,0)),"")</f>
        <v/>
      </c>
      <c r="D85" s="27"/>
      <c r="E85" s="27"/>
      <c r="F85" s="27"/>
      <c r="G85" s="27"/>
      <c r="H85" s="28"/>
      <c r="I85" s="27"/>
      <c r="J85" s="27"/>
      <c r="K85" s="27"/>
      <c r="L85" s="27"/>
      <c r="M85" s="27"/>
      <c r="N85" s="28"/>
      <c r="O85" s="23" t="str">
        <f aca="false">IF(I85="","",VALUE(LEFT(I85,1)))</f>
        <v/>
      </c>
      <c r="P85" s="27"/>
    </row>
    <row r="86" customFormat="false" ht="15" hidden="false" customHeight="false" outlineLevel="0" collapsed="false">
      <c r="A86" s="26"/>
      <c r="B86" s="23" t="str">
        <f aca="false">IFERROR(INDEX('Chấm điểm'!$W$5:$W$101,MATCH(A86,'Chấm điểm'!$B$5:$B$101,0)),"")</f>
        <v/>
      </c>
      <c r="C86" s="23" t="str">
        <f aca="false">IFERROR(INDEX('Chấm điểm'!$V$5:$V$101,MATCH(A86,'Chấm điểm'!$B$5:$B$101,0)),"")</f>
        <v/>
      </c>
      <c r="D86" s="27"/>
      <c r="E86" s="27"/>
      <c r="F86" s="27"/>
      <c r="G86" s="27"/>
      <c r="H86" s="28"/>
      <c r="I86" s="27"/>
      <c r="J86" s="27"/>
      <c r="K86" s="27"/>
      <c r="L86" s="27"/>
      <c r="M86" s="27"/>
      <c r="N86" s="28"/>
      <c r="O86" s="23" t="str">
        <f aca="false">IF(I86="","",VALUE(LEFT(I86,1)))</f>
        <v/>
      </c>
      <c r="P86" s="27"/>
    </row>
    <row r="87" customFormat="false" ht="15" hidden="false" customHeight="false" outlineLevel="0" collapsed="false">
      <c r="A87" s="26"/>
      <c r="B87" s="23" t="str">
        <f aca="false">IFERROR(INDEX('Chấm điểm'!$W$5:$W$101,MATCH(A87,'Chấm điểm'!$B$5:$B$101,0)),"")</f>
        <v/>
      </c>
      <c r="C87" s="23" t="str">
        <f aca="false">IFERROR(INDEX('Chấm điểm'!$V$5:$V$101,MATCH(A87,'Chấm điểm'!$B$5:$B$101,0)),"")</f>
        <v/>
      </c>
      <c r="D87" s="27"/>
      <c r="E87" s="27"/>
      <c r="F87" s="27"/>
      <c r="G87" s="27"/>
      <c r="H87" s="28"/>
      <c r="I87" s="27"/>
      <c r="J87" s="27"/>
      <c r="K87" s="27"/>
      <c r="L87" s="27"/>
      <c r="M87" s="27"/>
      <c r="N87" s="28"/>
      <c r="O87" s="23" t="str">
        <f aca="false">IF(I87="","",VALUE(LEFT(I87,1)))</f>
        <v/>
      </c>
      <c r="P87" s="27"/>
    </row>
    <row r="88" customFormat="false" ht="15" hidden="false" customHeight="false" outlineLevel="0" collapsed="false">
      <c r="A88" s="26"/>
      <c r="B88" s="23" t="str">
        <f aca="false">IFERROR(INDEX('Chấm điểm'!$W$5:$W$101,MATCH(A88,'Chấm điểm'!$B$5:$B$101,0)),"")</f>
        <v/>
      </c>
      <c r="C88" s="23" t="str">
        <f aca="false">IFERROR(INDEX('Chấm điểm'!$V$5:$V$101,MATCH(A88,'Chấm điểm'!$B$5:$B$101,0)),"")</f>
        <v/>
      </c>
      <c r="D88" s="27"/>
      <c r="E88" s="27"/>
      <c r="F88" s="27"/>
      <c r="G88" s="27"/>
      <c r="H88" s="28"/>
      <c r="I88" s="27"/>
      <c r="J88" s="27"/>
      <c r="K88" s="27"/>
      <c r="L88" s="27"/>
      <c r="M88" s="27"/>
      <c r="N88" s="28"/>
      <c r="O88" s="23" t="str">
        <f aca="false">IF(I88="","",VALUE(LEFT(I88,1)))</f>
        <v/>
      </c>
      <c r="P88" s="27"/>
    </row>
    <row r="89" customFormat="false" ht="15" hidden="false" customHeight="false" outlineLevel="0" collapsed="false">
      <c r="A89" s="26"/>
      <c r="B89" s="23" t="str">
        <f aca="false">IFERROR(INDEX('Chấm điểm'!$W$5:$W$101,MATCH(A89,'Chấm điểm'!$B$5:$B$101,0)),"")</f>
        <v/>
      </c>
      <c r="C89" s="23" t="str">
        <f aca="false">IFERROR(INDEX('Chấm điểm'!$V$5:$V$101,MATCH(A89,'Chấm điểm'!$B$5:$B$101,0)),"")</f>
        <v/>
      </c>
      <c r="D89" s="27"/>
      <c r="E89" s="27"/>
      <c r="F89" s="27"/>
      <c r="G89" s="27"/>
      <c r="H89" s="28"/>
      <c r="I89" s="27"/>
      <c r="J89" s="27"/>
      <c r="K89" s="27"/>
      <c r="L89" s="27"/>
      <c r="M89" s="27"/>
      <c r="N89" s="28"/>
      <c r="O89" s="23" t="str">
        <f aca="false">IF(I89="","",VALUE(LEFT(I89,1)))</f>
        <v/>
      </c>
      <c r="P89" s="27"/>
    </row>
    <row r="90" customFormat="false" ht="15" hidden="false" customHeight="false" outlineLevel="0" collapsed="false">
      <c r="A90" s="26"/>
      <c r="B90" s="23" t="str">
        <f aca="false">IFERROR(INDEX('Chấm điểm'!$W$5:$W$101,MATCH(A90,'Chấm điểm'!$B$5:$B$101,0)),"")</f>
        <v/>
      </c>
      <c r="C90" s="23" t="str">
        <f aca="false">IFERROR(INDEX('Chấm điểm'!$V$5:$V$101,MATCH(A90,'Chấm điểm'!$B$5:$B$101,0)),"")</f>
        <v/>
      </c>
      <c r="D90" s="27"/>
      <c r="E90" s="27"/>
      <c r="F90" s="27"/>
      <c r="G90" s="27"/>
      <c r="H90" s="28"/>
      <c r="I90" s="27"/>
      <c r="J90" s="27"/>
      <c r="K90" s="27"/>
      <c r="L90" s="27"/>
      <c r="M90" s="27"/>
      <c r="N90" s="28"/>
      <c r="O90" s="23" t="str">
        <f aca="false">IF(I90="","",VALUE(LEFT(I90,1)))</f>
        <v/>
      </c>
      <c r="P90" s="27"/>
    </row>
    <row r="91" customFormat="false" ht="15" hidden="false" customHeight="false" outlineLevel="0" collapsed="false">
      <c r="A91" s="26"/>
      <c r="B91" s="23" t="str">
        <f aca="false">IFERROR(INDEX('Chấm điểm'!$W$5:$W$101,MATCH(A91,'Chấm điểm'!$B$5:$B$101,0)),"")</f>
        <v/>
      </c>
      <c r="C91" s="23" t="str">
        <f aca="false">IFERROR(INDEX('Chấm điểm'!$V$5:$V$101,MATCH(A91,'Chấm điểm'!$B$5:$B$101,0)),"")</f>
        <v/>
      </c>
      <c r="D91" s="27"/>
      <c r="E91" s="27"/>
      <c r="F91" s="27"/>
      <c r="G91" s="27"/>
      <c r="H91" s="28"/>
      <c r="I91" s="27"/>
      <c r="J91" s="27"/>
      <c r="K91" s="27"/>
      <c r="L91" s="27"/>
      <c r="M91" s="27"/>
      <c r="N91" s="28"/>
      <c r="O91" s="23" t="str">
        <f aca="false">IF(I91="","",VALUE(LEFT(I91,1)))</f>
        <v/>
      </c>
      <c r="P91" s="27"/>
    </row>
    <row r="92" customFormat="false" ht="15" hidden="false" customHeight="false" outlineLevel="0" collapsed="false">
      <c r="A92" s="26"/>
      <c r="B92" s="23" t="str">
        <f aca="false">IFERROR(INDEX('Chấm điểm'!$W$5:$W$101,MATCH(A92,'Chấm điểm'!$B$5:$B$101,0)),"")</f>
        <v/>
      </c>
      <c r="C92" s="23" t="str">
        <f aca="false">IFERROR(INDEX('Chấm điểm'!$V$5:$V$101,MATCH(A92,'Chấm điểm'!$B$5:$B$101,0)),"")</f>
        <v/>
      </c>
      <c r="D92" s="27"/>
      <c r="E92" s="27"/>
      <c r="F92" s="27"/>
      <c r="G92" s="27"/>
      <c r="H92" s="28"/>
      <c r="I92" s="27"/>
      <c r="J92" s="27"/>
      <c r="K92" s="27"/>
      <c r="L92" s="27"/>
      <c r="M92" s="27"/>
      <c r="N92" s="28"/>
      <c r="O92" s="23" t="str">
        <f aca="false">IF(I92="","",VALUE(LEFT(I92,1)))</f>
        <v/>
      </c>
      <c r="P92" s="27"/>
    </row>
    <row r="93" customFormat="false" ht="15" hidden="false" customHeight="false" outlineLevel="0" collapsed="false">
      <c r="A93" s="26"/>
      <c r="B93" s="23" t="str">
        <f aca="false">IFERROR(INDEX('Chấm điểm'!$W$5:$W$101,MATCH(A93,'Chấm điểm'!$B$5:$B$101,0)),"")</f>
        <v/>
      </c>
      <c r="C93" s="23" t="str">
        <f aca="false">IFERROR(INDEX('Chấm điểm'!$V$5:$V$101,MATCH(A93,'Chấm điểm'!$B$5:$B$101,0)),"")</f>
        <v/>
      </c>
      <c r="D93" s="27"/>
      <c r="E93" s="27"/>
      <c r="F93" s="27"/>
      <c r="G93" s="27"/>
      <c r="H93" s="28"/>
      <c r="I93" s="27"/>
      <c r="J93" s="27"/>
      <c r="K93" s="27"/>
      <c r="L93" s="27"/>
      <c r="M93" s="27"/>
      <c r="N93" s="28"/>
      <c r="O93" s="23" t="str">
        <f aca="false">IF(I93="","",VALUE(LEFT(I93,1)))</f>
        <v/>
      </c>
      <c r="P93" s="27"/>
    </row>
    <row r="94" customFormat="false" ht="15" hidden="false" customHeight="false" outlineLevel="0" collapsed="false">
      <c r="A94" s="26"/>
      <c r="B94" s="23" t="str">
        <f aca="false">IFERROR(INDEX('Chấm điểm'!$W$5:$W$101,MATCH(A94,'Chấm điểm'!$B$5:$B$101,0)),"")</f>
        <v/>
      </c>
      <c r="C94" s="23" t="str">
        <f aca="false">IFERROR(INDEX('Chấm điểm'!$V$5:$V$101,MATCH(A94,'Chấm điểm'!$B$5:$B$101,0)),"")</f>
        <v/>
      </c>
      <c r="D94" s="27"/>
      <c r="E94" s="27"/>
      <c r="F94" s="27"/>
      <c r="G94" s="27"/>
      <c r="H94" s="28"/>
      <c r="I94" s="27"/>
      <c r="J94" s="27"/>
      <c r="K94" s="27"/>
      <c r="L94" s="27"/>
      <c r="M94" s="27"/>
      <c r="N94" s="28"/>
      <c r="O94" s="23" t="str">
        <f aca="false">IF(I94="","",VALUE(LEFT(I94,1)))</f>
        <v/>
      </c>
      <c r="P94" s="27"/>
    </row>
    <row r="95" customFormat="false" ht="15" hidden="false" customHeight="false" outlineLevel="0" collapsed="false">
      <c r="A95" s="26"/>
      <c r="B95" s="23" t="str">
        <f aca="false">IFERROR(INDEX('Chấm điểm'!$W$5:$W$101,MATCH(A95,'Chấm điểm'!$B$5:$B$101,0)),"")</f>
        <v/>
      </c>
      <c r="C95" s="23" t="str">
        <f aca="false">IFERROR(INDEX('Chấm điểm'!$V$5:$V$101,MATCH(A95,'Chấm điểm'!$B$5:$B$101,0)),"")</f>
        <v/>
      </c>
      <c r="D95" s="27"/>
      <c r="E95" s="27"/>
      <c r="F95" s="27"/>
      <c r="G95" s="27"/>
      <c r="H95" s="28"/>
      <c r="I95" s="27"/>
      <c r="J95" s="27"/>
      <c r="K95" s="27"/>
      <c r="L95" s="27"/>
      <c r="M95" s="27"/>
      <c r="N95" s="28"/>
      <c r="O95" s="23" t="str">
        <f aca="false">IF(I95="","",VALUE(LEFT(I95,1)))</f>
        <v/>
      </c>
      <c r="P95" s="27"/>
    </row>
    <row r="96" customFormat="false" ht="15" hidden="false" customHeight="false" outlineLevel="0" collapsed="false">
      <c r="A96" s="26"/>
      <c r="B96" s="23" t="str">
        <f aca="false">IFERROR(INDEX('Chấm điểm'!$W$5:$W$101,MATCH(A96,'Chấm điểm'!$B$5:$B$101,0)),"")</f>
        <v/>
      </c>
      <c r="C96" s="23" t="str">
        <f aca="false">IFERROR(INDEX('Chấm điểm'!$V$5:$V$101,MATCH(A96,'Chấm điểm'!$B$5:$B$101,0)),"")</f>
        <v/>
      </c>
      <c r="D96" s="27"/>
      <c r="E96" s="27"/>
      <c r="F96" s="27"/>
      <c r="G96" s="27"/>
      <c r="H96" s="28"/>
      <c r="I96" s="27"/>
      <c r="J96" s="27"/>
      <c r="K96" s="27"/>
      <c r="L96" s="27"/>
      <c r="M96" s="27"/>
      <c r="N96" s="28"/>
      <c r="O96" s="23" t="str">
        <f aca="false">IF(I96="","",VALUE(LEFT(I96,1)))</f>
        <v/>
      </c>
      <c r="P96" s="27"/>
    </row>
    <row r="97" customFormat="false" ht="15" hidden="false" customHeight="false" outlineLevel="0" collapsed="false">
      <c r="A97" s="26"/>
      <c r="B97" s="23" t="str">
        <f aca="false">IFERROR(INDEX('Chấm điểm'!$W$5:$W$101,MATCH(A97,'Chấm điểm'!$B$5:$B$101,0)),"")</f>
        <v/>
      </c>
      <c r="C97" s="23" t="str">
        <f aca="false">IFERROR(INDEX('Chấm điểm'!$V$5:$V$101,MATCH(A97,'Chấm điểm'!$B$5:$B$101,0)),"")</f>
        <v/>
      </c>
      <c r="D97" s="27"/>
      <c r="E97" s="27"/>
      <c r="F97" s="27"/>
      <c r="G97" s="27"/>
      <c r="H97" s="28"/>
      <c r="I97" s="27"/>
      <c r="J97" s="27"/>
      <c r="K97" s="27"/>
      <c r="L97" s="27"/>
      <c r="M97" s="27"/>
      <c r="N97" s="28"/>
      <c r="O97" s="23" t="str">
        <f aca="false">IF(I97="","",VALUE(LEFT(I97,1)))</f>
        <v/>
      </c>
      <c r="P97" s="27"/>
    </row>
  </sheetData>
  <autoFilter ref="A4:P97"/>
  <conditionalFormatting sqref="B6:B97">
    <cfRule type="expression" priority="2" aboveAverage="0" equalAverage="0" bottom="0" percent="0" rank="0" text="" dxfId="63">
      <formula>LEFT(B6,5)="Đợt 1"</formula>
    </cfRule>
    <cfRule type="expression" priority="3" aboveAverage="0" equalAverage="0" bottom="0" percent="0" rank="0" text="" dxfId="64">
      <formula>LEFT(B6,5)="Đợt 2"</formula>
    </cfRule>
    <cfRule type="expression" priority="4" aboveAverage="0" equalAverage="0" bottom="0" percent="0" rank="0" text="" dxfId="65">
      <formula>LEFT(B6,5)="Đợt 3"</formula>
    </cfRule>
  </conditionalFormatting>
  <dataValidations count="2">
    <dataValidation allowBlank="true" errorStyle="stop" operator="between" showDropDown="false" showErrorMessage="false" showInputMessage="false" sqref="I6:I97" type="list">
      <formula1>"1. Chưa liên hệ,2. Đã liên hệ,3. Đã gặp,4. Đã khảo sát nhu cầu,5. Demo/Pilot,6. Đã gửi báo giá,7. Ký hợp đồng,8. Dừng/Mất"</formula1>
      <formula2>0</formula2>
    </dataValidation>
    <dataValidation allowBlank="true" errorStyle="stop" operator="between" showDropDown="false" showErrorMessage="false" showInputMessage="false" sqref="G6:G97" type="list">
      <formula1>"Giới thiệu,Gọi điện,Email,Gặp trực tiếp,Hội thảo/sự kiện,Qua Sở/Bộ chủ quản,Zalo/LinkedIn"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40"/>
    <col collapsed="false" customWidth="true" hidden="false" outlineLevel="0" max="4" min="4" style="0" width="44"/>
    <col collapsed="false" customWidth="true" hidden="false" outlineLevel="0" max="5" min="5" style="0" width="36"/>
    <col collapsed="false" customWidth="true" hidden="false" outlineLevel="0" max="6" min="6" style="0" width="28"/>
    <col collapsed="false" customWidth="true" hidden="false" outlineLevel="0" max="7" min="7" style="0" width="34"/>
  </cols>
  <sheetData>
    <row r="1" customFormat="false" ht="18.55" hidden="false" customHeight="false" outlineLevel="0" collapsed="false">
      <c r="A1" s="1" t="s">
        <v>813</v>
      </c>
    </row>
    <row r="2" customFormat="false" ht="15" hidden="false" customHeight="false" outlineLevel="0" collapsed="false">
      <c r="A2" s="2" t="s">
        <v>814</v>
      </c>
    </row>
    <row r="4" customFormat="false" ht="15" hidden="false" customHeight="false" outlineLevel="0" collapsed="false">
      <c r="A4" s="6" t="s">
        <v>815</v>
      </c>
      <c r="B4" s="6" t="s">
        <v>816</v>
      </c>
      <c r="C4" s="6" t="s">
        <v>817</v>
      </c>
      <c r="D4" s="6" t="s">
        <v>818</v>
      </c>
      <c r="E4" s="6" t="s">
        <v>819</v>
      </c>
      <c r="F4" s="6" t="s">
        <v>820</v>
      </c>
      <c r="G4" s="6" t="s">
        <v>821</v>
      </c>
    </row>
    <row r="5" customFormat="false" ht="120" hidden="false" customHeight="true" outlineLevel="0" collapsed="false">
      <c r="A5" s="7" t="s">
        <v>822</v>
      </c>
      <c r="B5" s="9" t="s">
        <v>823</v>
      </c>
      <c r="C5" s="9" t="s">
        <v>824</v>
      </c>
      <c r="D5" s="9" t="s">
        <v>825</v>
      </c>
      <c r="E5" s="9" t="s">
        <v>826</v>
      </c>
      <c r="F5" s="9" t="s">
        <v>827</v>
      </c>
      <c r="G5" s="9" t="s">
        <v>828</v>
      </c>
    </row>
    <row r="6" customFormat="false" ht="120" hidden="false" customHeight="true" outlineLevel="0" collapsed="false">
      <c r="A6" s="7" t="s">
        <v>829</v>
      </c>
      <c r="B6" s="9" t="s">
        <v>830</v>
      </c>
      <c r="C6" s="9" t="s">
        <v>831</v>
      </c>
      <c r="D6" s="9" t="s">
        <v>832</v>
      </c>
      <c r="E6" s="9" t="s">
        <v>833</v>
      </c>
      <c r="F6" s="9" t="s">
        <v>834</v>
      </c>
      <c r="G6" s="9" t="s">
        <v>835</v>
      </c>
    </row>
    <row r="7" customFormat="false" ht="120" hidden="false" customHeight="true" outlineLevel="0" collapsed="false">
      <c r="A7" s="7" t="s">
        <v>836</v>
      </c>
      <c r="B7" s="9" t="s">
        <v>837</v>
      </c>
      <c r="C7" s="9" t="s">
        <v>838</v>
      </c>
      <c r="D7" s="9" t="s">
        <v>839</v>
      </c>
      <c r="E7" s="9" t="s">
        <v>840</v>
      </c>
      <c r="F7" s="9" t="s">
        <v>841</v>
      </c>
      <c r="G7" s="9" t="s">
        <v>842</v>
      </c>
    </row>
    <row r="8" customFormat="false" ht="120" hidden="false" customHeight="true" outlineLevel="0" collapsed="false">
      <c r="A8" s="7" t="s">
        <v>843</v>
      </c>
      <c r="B8" s="9" t="s">
        <v>844</v>
      </c>
      <c r="C8" s="9" t="s">
        <v>845</v>
      </c>
      <c r="D8" s="9" t="s">
        <v>846</v>
      </c>
      <c r="E8" s="9" t="s">
        <v>847</v>
      </c>
      <c r="F8" s="9" t="s">
        <v>848</v>
      </c>
      <c r="G8" s="9" t="s">
        <v>849</v>
      </c>
    </row>
    <row r="9" customFormat="false" ht="120" hidden="false" customHeight="true" outlineLevel="0" collapsed="false">
      <c r="A9" s="7" t="s">
        <v>226</v>
      </c>
      <c r="B9" s="9" t="s">
        <v>850</v>
      </c>
      <c r="C9" s="9" t="s">
        <v>851</v>
      </c>
      <c r="D9" s="9" t="s">
        <v>852</v>
      </c>
      <c r="E9" s="9" t="s">
        <v>853</v>
      </c>
      <c r="F9" s="9" t="s">
        <v>854</v>
      </c>
      <c r="G9" s="9" t="s">
        <v>855</v>
      </c>
    </row>
    <row r="10" customFormat="false" ht="120" hidden="false" customHeight="true" outlineLevel="0" collapsed="false">
      <c r="A10" s="7" t="s">
        <v>856</v>
      </c>
      <c r="B10" s="9" t="s">
        <v>857</v>
      </c>
      <c r="C10" s="9" t="s">
        <v>858</v>
      </c>
      <c r="D10" s="9" t="s">
        <v>859</v>
      </c>
      <c r="E10" s="9" t="s">
        <v>860</v>
      </c>
      <c r="F10" s="9" t="s">
        <v>861</v>
      </c>
      <c r="G10" s="9" t="s">
        <v>862</v>
      </c>
    </row>
    <row r="11" customFormat="false" ht="120" hidden="false" customHeight="true" outlineLevel="0" collapsed="false">
      <c r="A11" s="7" t="s">
        <v>863</v>
      </c>
      <c r="B11" s="9" t="s">
        <v>864</v>
      </c>
      <c r="C11" s="9" t="s">
        <v>865</v>
      </c>
      <c r="D11" s="9" t="s">
        <v>866</v>
      </c>
      <c r="E11" s="9" t="s">
        <v>867</v>
      </c>
      <c r="F11" s="9" t="s">
        <v>868</v>
      </c>
      <c r="G11" s="9" t="s">
        <v>869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0"/>
    <col collapsed="false" customWidth="true" hidden="false" outlineLevel="0" max="3" min="3" style="0" width="60"/>
  </cols>
  <sheetData>
    <row r="1" customFormat="false" ht="18.55" hidden="false" customHeight="false" outlineLevel="0" collapsed="false">
      <c r="A1" s="1" t="s">
        <v>870</v>
      </c>
    </row>
    <row r="2" customFormat="false" ht="15" hidden="false" customHeight="false" outlineLevel="0" collapsed="false">
      <c r="A2" s="2" t="s">
        <v>871</v>
      </c>
    </row>
    <row r="4" customFormat="false" ht="15" hidden="false" customHeight="false" outlineLevel="0" collapsed="false">
      <c r="A4" s="6" t="s">
        <v>117</v>
      </c>
      <c r="B4" s="6" t="s">
        <v>872</v>
      </c>
      <c r="C4" s="6" t="s">
        <v>873</v>
      </c>
    </row>
    <row r="5" customFormat="false" ht="45" hidden="false" customHeight="true" outlineLevel="0" collapsed="false">
      <c r="A5" s="7" t="s">
        <v>874</v>
      </c>
      <c r="B5" s="9" t="s">
        <v>875</v>
      </c>
      <c r="C5" s="9" t="s">
        <v>876</v>
      </c>
    </row>
    <row r="6" customFormat="false" ht="45" hidden="false" customHeight="true" outlineLevel="0" collapsed="false">
      <c r="A6" s="7" t="s">
        <v>877</v>
      </c>
      <c r="B6" s="9" t="s">
        <v>878</v>
      </c>
      <c r="C6" s="9" t="s">
        <v>879</v>
      </c>
    </row>
    <row r="7" customFormat="false" ht="45" hidden="false" customHeight="true" outlineLevel="0" collapsed="false">
      <c r="A7" s="7" t="s">
        <v>880</v>
      </c>
      <c r="B7" s="9" t="s">
        <v>881</v>
      </c>
      <c r="C7" s="9" t="s">
        <v>882</v>
      </c>
    </row>
    <row r="8" customFormat="false" ht="45" hidden="false" customHeight="true" outlineLevel="0" collapsed="false">
      <c r="A8" s="7" t="s">
        <v>883</v>
      </c>
      <c r="B8" s="9" t="s">
        <v>884</v>
      </c>
      <c r="C8" s="9" t="s">
        <v>885</v>
      </c>
    </row>
    <row r="9" customFormat="false" ht="45" hidden="false" customHeight="true" outlineLevel="0" collapsed="false">
      <c r="A9" s="7" t="s">
        <v>886</v>
      </c>
      <c r="B9" s="9" t="s">
        <v>887</v>
      </c>
      <c r="C9" s="9" t="s">
        <v>888</v>
      </c>
    </row>
    <row r="10" customFormat="false" ht="45" hidden="false" customHeight="true" outlineLevel="0" collapsed="false">
      <c r="A10" s="7" t="s">
        <v>889</v>
      </c>
      <c r="B10" s="9" t="s">
        <v>890</v>
      </c>
      <c r="C10" s="9" t="s">
        <v>891</v>
      </c>
    </row>
    <row r="11" customFormat="false" ht="45" hidden="false" customHeight="true" outlineLevel="0" collapsed="false">
      <c r="A11" s="7" t="s">
        <v>892</v>
      </c>
      <c r="B11" s="9" t="s">
        <v>893</v>
      </c>
      <c r="C11" s="9" t="s">
        <v>894</v>
      </c>
    </row>
    <row r="12" customFormat="false" ht="45" hidden="false" customHeight="true" outlineLevel="0" collapsed="false">
      <c r="A12" s="7" t="s">
        <v>895</v>
      </c>
      <c r="B12" s="9" t="s">
        <v>896</v>
      </c>
      <c r="C12" s="9" t="s">
        <v>897</v>
      </c>
    </row>
    <row r="13" customFormat="false" ht="45" hidden="false" customHeight="true" outlineLevel="0" collapsed="false">
      <c r="A13" s="7" t="s">
        <v>898</v>
      </c>
      <c r="B13" s="9" t="s">
        <v>899</v>
      </c>
      <c r="C13" s="9" t="s">
        <v>900</v>
      </c>
    </row>
    <row r="14" customFormat="false" ht="45" hidden="false" customHeight="true" outlineLevel="0" collapsed="false">
      <c r="A14" s="7" t="s">
        <v>901</v>
      </c>
      <c r="B14" s="9" t="s">
        <v>902</v>
      </c>
      <c r="C14" s="9" t="s">
        <v>903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2026-10-16T23:48:50Z</dcterms:created>
  <dc:creator>openpyxl</dc:creator>
  <dc:description/>
  <dc:language>en-US</dc:language>
  <cp:lastModifiedBy/>
  <dcterms:modified xsi:type="dcterms:W3CDTF">2026-10-16T23:48:51Z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